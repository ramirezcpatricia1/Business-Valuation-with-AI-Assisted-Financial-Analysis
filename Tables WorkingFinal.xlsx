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Test Assestment\"/>
    </mc:Choice>
  </mc:AlternateContent>
  <xr:revisionPtr revIDLastSave="0" documentId="13_ncr:1_{FA18D357-215A-438B-920A-1FB79760D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Statement check" sheetId="12" r:id="rId1"/>
    <sheet name="Balance Sheet" sheetId="3" r:id="rId2"/>
    <sheet name="P&amp;C comissionIncome" sheetId="4" r:id="rId3"/>
    <sheet name="Contingent Comission Detailes" sheetId="5" r:id="rId4"/>
    <sheet name="Top10Accounts" sheetId="6" r:id="rId5"/>
    <sheet name="BankActivity" sheetId="7" r:id="rId6"/>
    <sheet name="ProducerEcon&amp;Compen" sheetId="8" r:id="rId7"/>
    <sheet name="OwnerCompen" sheetId="9" r:id="rId8"/>
    <sheet name="Notes" sheetId="10" r:id="rId9"/>
    <sheet name="Sheet9" sheetId="11" r:id="rId10"/>
  </sheets>
  <definedNames>
    <definedName name="_xlnm._FilterDatabase" localSheetId="0" hidden="1">'IncomeStatement check'!$A$2:$O$29</definedName>
  </definedNames>
  <calcPr calcId="191029"/>
</workbook>
</file>

<file path=xl/calcChain.xml><?xml version="1.0" encoding="utf-8"?>
<calcChain xmlns="http://schemas.openxmlformats.org/spreadsheetml/2006/main">
  <c r="O3" i="12" l="1"/>
  <c r="M3" i="12"/>
  <c r="K3" i="12"/>
  <c r="I3" i="12"/>
  <c r="F3" i="12"/>
  <c r="N28" i="12"/>
  <c r="M28" i="12"/>
  <c r="L4" i="12"/>
  <c r="N4" i="12" s="1"/>
  <c r="L5" i="12"/>
  <c r="N5" i="12" s="1"/>
  <c r="L6" i="12"/>
  <c r="N6" i="12" s="1"/>
  <c r="L7" i="12"/>
  <c r="N7" i="12" s="1"/>
  <c r="L8" i="12"/>
  <c r="N8" i="12" s="1"/>
  <c r="L9" i="12"/>
  <c r="N9" i="12" s="1"/>
  <c r="L10" i="12"/>
  <c r="N10" i="12" s="1"/>
  <c r="L11" i="12"/>
  <c r="N11" i="12" s="1"/>
  <c r="L12" i="12"/>
  <c r="N12" i="12" s="1"/>
  <c r="L13" i="12"/>
  <c r="N13" i="12" s="1"/>
  <c r="L14" i="12"/>
  <c r="N14" i="12" s="1"/>
  <c r="L15" i="12"/>
  <c r="N15" i="12" s="1"/>
  <c r="L16" i="12"/>
  <c r="N16" i="12" s="1"/>
  <c r="L17" i="12"/>
  <c r="N17" i="12" s="1"/>
  <c r="L18" i="12"/>
  <c r="N18" i="12" s="1"/>
  <c r="L19" i="12"/>
  <c r="N19" i="12" s="1"/>
  <c r="L20" i="12"/>
  <c r="N20" i="12" s="1"/>
  <c r="L21" i="12"/>
  <c r="N21" i="12" s="1"/>
  <c r="L22" i="12"/>
  <c r="N22" i="12" s="1"/>
  <c r="L23" i="12"/>
  <c r="N23" i="12" s="1"/>
  <c r="L24" i="12"/>
  <c r="N24" i="12" s="1"/>
  <c r="L25" i="12"/>
  <c r="N25" i="12" s="1"/>
  <c r="L26" i="12"/>
  <c r="N26" i="12" s="1"/>
  <c r="L27" i="12"/>
  <c r="N27" i="12" s="1"/>
  <c r="L29" i="12"/>
  <c r="N29" i="12" s="1"/>
  <c r="L3" i="12"/>
  <c r="N3" i="12" s="1"/>
  <c r="K4" i="12"/>
  <c r="M4" i="12" s="1"/>
  <c r="K5" i="12"/>
  <c r="M5" i="12" s="1"/>
  <c r="K6" i="12"/>
  <c r="M6" i="12" s="1"/>
  <c r="K7" i="12"/>
  <c r="M7" i="12" s="1"/>
  <c r="K8" i="12"/>
  <c r="M8" i="12" s="1"/>
  <c r="K9" i="12"/>
  <c r="M9" i="12" s="1"/>
  <c r="K10" i="12"/>
  <c r="M10" i="12" s="1"/>
  <c r="K11" i="12"/>
  <c r="M11" i="12" s="1"/>
  <c r="K12" i="12"/>
  <c r="M12" i="12" s="1"/>
  <c r="K13" i="12"/>
  <c r="M13" i="12" s="1"/>
  <c r="K14" i="12"/>
  <c r="M14" i="12" s="1"/>
  <c r="K15" i="12"/>
  <c r="M15" i="12" s="1"/>
  <c r="K16" i="12"/>
  <c r="M16" i="12" s="1"/>
  <c r="K17" i="12"/>
  <c r="M17" i="12" s="1"/>
  <c r="K18" i="12"/>
  <c r="M18" i="12" s="1"/>
  <c r="K19" i="12"/>
  <c r="M19" i="12" s="1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29" i="12"/>
  <c r="M29" i="12" s="1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I27" i="12"/>
  <c r="J27" i="12"/>
  <c r="I28" i="12"/>
  <c r="J28" i="12"/>
  <c r="I29" i="12"/>
  <c r="J29" i="12"/>
  <c r="J3" i="12"/>
  <c r="H4" i="12"/>
  <c r="H5" i="12"/>
  <c r="H6" i="12"/>
  <c r="H7" i="12"/>
  <c r="O7" i="12" s="1"/>
  <c r="H8" i="12"/>
  <c r="O8" i="12" s="1"/>
  <c r="H9" i="12"/>
  <c r="H10" i="12"/>
  <c r="H11" i="12"/>
  <c r="H12" i="12"/>
  <c r="H13" i="12"/>
  <c r="O13" i="12" s="1"/>
  <c r="H14" i="12"/>
  <c r="H15" i="12"/>
  <c r="H16" i="12"/>
  <c r="H17" i="12"/>
  <c r="H18" i="12"/>
  <c r="H19" i="12"/>
  <c r="O19" i="12" s="1"/>
  <c r="H20" i="12"/>
  <c r="O20" i="12" s="1"/>
  <c r="H21" i="12"/>
  <c r="H22" i="12"/>
  <c r="H23" i="12"/>
  <c r="H24" i="12"/>
  <c r="H25" i="12"/>
  <c r="H26" i="12"/>
  <c r="H27" i="12"/>
  <c r="H28" i="12"/>
  <c r="H29" i="12"/>
  <c r="H3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8" i="12"/>
  <c r="F8" i="12"/>
  <c r="E8" i="12"/>
  <c r="G7" i="12"/>
  <c r="F7" i="12"/>
  <c r="E7" i="12"/>
  <c r="G6" i="12"/>
  <c r="F6" i="12"/>
  <c r="E6" i="12"/>
  <c r="G5" i="12"/>
  <c r="F5" i="12"/>
  <c r="E5" i="12"/>
  <c r="G4" i="12"/>
  <c r="F4" i="12"/>
  <c r="E4" i="12"/>
  <c r="G3" i="12"/>
  <c r="E3" i="12"/>
  <c r="O24" i="12" l="1"/>
  <c r="O12" i="12"/>
  <c r="O27" i="12"/>
  <c r="O15" i="12"/>
  <c r="O18" i="12"/>
  <c r="O26" i="12"/>
  <c r="O6" i="12"/>
  <c r="O14" i="12"/>
  <c r="O25" i="12"/>
  <c r="O23" i="12"/>
  <c r="O29" i="12"/>
  <c r="O17" i="12"/>
  <c r="O5" i="12"/>
  <c r="O28" i="12"/>
  <c r="O16" i="12"/>
  <c r="O4" i="12"/>
  <c r="O22" i="12"/>
  <c r="O10" i="12"/>
  <c r="O21" i="12"/>
  <c r="O9" i="12"/>
  <c r="O11" i="12"/>
</calcChain>
</file>

<file path=xl/sharedStrings.xml><?xml version="1.0" encoding="utf-8"?>
<sst xmlns="http://schemas.openxmlformats.org/spreadsheetml/2006/main" count="215" uniqueCount="196">
  <si>
    <r>
      <rPr>
        <b/>
        <sz val="12"/>
        <color rgb="FF1F4E79"/>
        <rFont val="Arial"/>
        <family val="2"/>
      </rPr>
      <t xml:space="preserve">Exhibit 1: Income Statements (FY 2023–2025)
</t>
    </r>
    <r>
      <rPr>
        <i/>
        <sz val="9"/>
        <color rgb="FF666666"/>
        <rFont val="Arial"/>
        <family val="2"/>
      </rPr>
      <t>(All figures in USD thousands)</t>
    </r>
  </si>
  <si>
    <r>
      <rPr>
        <b/>
        <sz val="9"/>
        <color rgb="FFFFFFFF"/>
        <rFont val="Arial"/>
        <family val="2"/>
      </rPr>
      <t>FY 2023</t>
    </r>
  </si>
  <si>
    <r>
      <rPr>
        <b/>
        <sz val="9"/>
        <color rgb="FFFFFFFF"/>
        <rFont val="Arial"/>
        <family val="2"/>
      </rPr>
      <t>FY 2024</t>
    </r>
  </si>
  <si>
    <r>
      <rPr>
        <b/>
        <sz val="9"/>
        <color rgb="FFFFFFFF"/>
        <rFont val="Arial"/>
        <family val="2"/>
      </rPr>
      <t>FY 2025</t>
    </r>
  </si>
  <si>
    <r>
      <rPr>
        <sz val="9"/>
        <rFont val="Arial MT"/>
        <family val="2"/>
      </rPr>
      <t>—</t>
    </r>
  </si>
  <si>
    <r>
      <rPr>
        <sz val="9"/>
        <rFont val="Arial MT"/>
        <family val="2"/>
      </rPr>
      <t>ASSETS</t>
    </r>
  </si>
  <si>
    <r>
      <rPr>
        <sz val="9"/>
        <rFont val="Arial MT"/>
        <family val="2"/>
      </rPr>
      <t>Cash &amp; Cash Equivalents</t>
    </r>
  </si>
  <si>
    <r>
      <rPr>
        <sz val="9"/>
        <rFont val="Arial MT"/>
        <family val="2"/>
      </rPr>
      <t>Commissions Receivable</t>
    </r>
  </si>
  <si>
    <r>
      <rPr>
        <sz val="9"/>
        <rFont val="Arial MT"/>
        <family val="2"/>
      </rPr>
      <t>Contingent Commission Receivable</t>
    </r>
  </si>
  <si>
    <r>
      <rPr>
        <sz val="9"/>
        <rFont val="Arial MT"/>
        <family val="2"/>
      </rPr>
      <t>Prepaid Expenses</t>
    </r>
  </si>
  <si>
    <r>
      <rPr>
        <sz val="9"/>
        <rFont val="Arial MT"/>
        <family val="2"/>
      </rPr>
      <t>Other Current Assets</t>
    </r>
  </si>
  <si>
    <r>
      <rPr>
        <sz val="9"/>
        <rFont val="Arial MT"/>
        <family val="2"/>
      </rPr>
      <t>Total Current Assets</t>
    </r>
  </si>
  <si>
    <r>
      <rPr>
        <sz val="9"/>
        <rFont val="Arial MT"/>
        <family val="2"/>
      </rPr>
      <t>Furniture &amp; Equipment (net)</t>
    </r>
  </si>
  <si>
    <r>
      <rPr>
        <sz val="9"/>
        <rFont val="Arial MT"/>
        <family val="2"/>
      </rPr>
      <t>Leasehold Improvements (net)</t>
    </r>
  </si>
  <si>
    <r>
      <rPr>
        <sz val="9"/>
        <rFont val="Arial MT"/>
        <family val="2"/>
      </rPr>
      <t>Intangible Assets — Book of Business</t>
    </r>
  </si>
  <si>
    <r>
      <rPr>
        <sz val="9"/>
        <rFont val="Arial MT"/>
        <family val="2"/>
      </rPr>
      <t>Goodwill</t>
    </r>
  </si>
  <si>
    <r>
      <rPr>
        <sz val="9"/>
        <rFont val="Arial MT"/>
        <family val="2"/>
      </rPr>
      <t>Other Long-Term Assets</t>
    </r>
  </si>
  <si>
    <r>
      <rPr>
        <sz val="9"/>
        <rFont val="Arial MT"/>
        <family val="2"/>
      </rPr>
      <t>Total Assets</t>
    </r>
  </si>
  <si>
    <r>
      <rPr>
        <sz val="9"/>
        <rFont val="Arial MT"/>
        <family val="2"/>
      </rPr>
      <t>LIABILITIES</t>
    </r>
  </si>
  <si>
    <r>
      <rPr>
        <sz val="9"/>
        <rFont val="Arial MT"/>
        <family val="2"/>
      </rPr>
      <t>Accounts Payable</t>
    </r>
  </si>
  <si>
    <r>
      <rPr>
        <sz val="9"/>
        <rFont val="Arial MT"/>
        <family val="2"/>
      </rPr>
      <t>Premiums Payable to Carriers</t>
    </r>
  </si>
  <si>
    <r>
      <rPr>
        <sz val="9"/>
        <rFont val="Arial MT"/>
        <family val="2"/>
      </rPr>
      <t>Accrued Compensation</t>
    </r>
  </si>
  <si>
    <r>
      <rPr>
        <sz val="9"/>
        <rFont val="Arial MT"/>
        <family val="2"/>
      </rPr>
      <t>Current Portion of Notes Payable</t>
    </r>
  </si>
  <si>
    <r>
      <rPr>
        <sz val="9"/>
        <rFont val="Arial MT"/>
        <family val="2"/>
      </rPr>
      <t>Total Current Liabilities</t>
    </r>
  </si>
  <si>
    <r>
      <rPr>
        <sz val="9"/>
        <rFont val="Arial MT"/>
        <family val="2"/>
      </rPr>
      <t>Notes Payable — Book Purchase</t>
    </r>
  </si>
  <si>
    <r>
      <rPr>
        <sz val="9"/>
        <rFont val="Arial MT"/>
        <family val="2"/>
      </rPr>
      <t>Line of Credit</t>
    </r>
  </si>
  <si>
    <r>
      <rPr>
        <sz val="9"/>
        <rFont val="Arial MT"/>
        <family val="2"/>
      </rPr>
      <t>Total Liabilities</t>
    </r>
  </si>
  <si>
    <r>
      <rPr>
        <sz val="9"/>
        <rFont val="Arial MT"/>
        <family val="2"/>
      </rPr>
      <t>EQUITY</t>
    </r>
  </si>
  <si>
    <r>
      <rPr>
        <sz val="9"/>
        <rFont val="Arial MT"/>
        <family val="2"/>
      </rPr>
      <t>Member’s Capital</t>
    </r>
  </si>
  <si>
    <r>
      <rPr>
        <sz val="9"/>
        <rFont val="Arial MT"/>
        <family val="2"/>
      </rPr>
      <t>Retained Earnings</t>
    </r>
  </si>
  <si>
    <r>
      <rPr>
        <sz val="9"/>
        <rFont val="Arial MT"/>
        <family val="2"/>
      </rPr>
      <t>Total Equity</t>
    </r>
  </si>
  <si>
    <r>
      <rPr>
        <sz val="9"/>
        <rFont val="Arial MT"/>
        <family val="2"/>
      </rPr>
      <t>Total Liabilities &amp; Equity</t>
    </r>
  </si>
  <si>
    <r>
      <rPr>
        <b/>
        <sz val="12"/>
        <color rgb="FF1F4E79"/>
        <rFont val="Arial"/>
        <family val="2"/>
      </rPr>
      <t xml:space="preserve">Exhibit 2: Balance Sheets (FY 2023–2025)
</t>
    </r>
    <r>
      <rPr>
        <i/>
        <sz val="9"/>
        <color rgb="FF666666"/>
        <rFont val="Arial"/>
        <family val="2"/>
      </rPr>
      <t>(All figures in USD thousands)</t>
    </r>
  </si>
  <si>
    <r>
      <rPr>
        <b/>
        <sz val="9"/>
        <color rgb="FFFFFFFF"/>
        <rFont val="Arial"/>
        <family val="2"/>
      </rPr>
      <t>Line of Business</t>
    </r>
  </si>
  <si>
    <r>
      <rPr>
        <b/>
        <sz val="9"/>
        <color rgb="FFFFFFFF"/>
        <rFont val="Arial"/>
        <family val="2"/>
      </rPr>
      <t>Written Premium</t>
    </r>
  </si>
  <si>
    <r>
      <rPr>
        <b/>
        <sz val="9"/>
        <color rgb="FFFFFFFF"/>
        <rFont val="Arial"/>
        <family val="2"/>
      </rPr>
      <t>Avg. Commission %</t>
    </r>
  </si>
  <si>
    <r>
      <rPr>
        <b/>
        <sz val="9"/>
        <color rgb="FFFFFFFF"/>
        <rFont val="Arial"/>
        <family val="2"/>
      </rPr>
      <t xml:space="preserve">Commission
</t>
    </r>
    <r>
      <rPr>
        <b/>
        <sz val="9"/>
        <color rgb="FFFFFFFF"/>
        <rFont val="Arial"/>
        <family val="2"/>
      </rPr>
      <t>Revenue</t>
    </r>
  </si>
  <si>
    <r>
      <rPr>
        <b/>
        <sz val="9"/>
        <color rgb="FFFFFFFF"/>
        <rFont val="Arial"/>
        <family val="2"/>
      </rPr>
      <t>% of P&amp;C Revenue</t>
    </r>
  </si>
  <si>
    <r>
      <rPr>
        <sz val="9"/>
        <rFont val="Arial MT"/>
        <family val="2"/>
      </rPr>
      <t>Commercial Property</t>
    </r>
  </si>
  <si>
    <r>
      <rPr>
        <sz val="9"/>
        <rFont val="Arial MT"/>
        <family val="2"/>
      </rPr>
      <t>General Liability</t>
    </r>
  </si>
  <si>
    <r>
      <rPr>
        <sz val="9"/>
        <rFont val="Arial MT"/>
        <family val="2"/>
      </rPr>
      <t>Professional Liability (E&amp;O)</t>
    </r>
  </si>
  <si>
    <r>
      <rPr>
        <sz val="9"/>
        <rFont val="Arial MT"/>
        <family val="2"/>
      </rPr>
      <t>Workers’ Compensation</t>
    </r>
  </si>
  <si>
    <r>
      <rPr>
        <sz val="9"/>
        <rFont val="Arial MT"/>
        <family val="2"/>
      </rPr>
      <t>Commercial Auto</t>
    </r>
  </si>
  <si>
    <r>
      <rPr>
        <sz val="9"/>
        <rFont val="Arial MT"/>
        <family val="2"/>
      </rPr>
      <t>Inland Marine / Specialty</t>
    </r>
  </si>
  <si>
    <r>
      <rPr>
        <sz val="9"/>
        <rFont val="Arial MT"/>
        <family val="2"/>
      </rPr>
      <t>Umbrella / Excess</t>
    </r>
  </si>
  <si>
    <r>
      <rPr>
        <sz val="9"/>
        <rFont val="Arial MT"/>
        <family val="2"/>
      </rPr>
      <t>Total P&amp;C</t>
    </r>
  </si>
  <si>
    <r>
      <rPr>
        <sz val="9"/>
        <rFont val="Arial MT"/>
        <family val="2"/>
      </rPr>
      <t>12.8% (blended)</t>
    </r>
  </si>
  <si>
    <r>
      <rPr>
        <b/>
        <sz val="11"/>
        <rFont val="Arial"/>
        <family val="2"/>
      </rPr>
      <t>P&amp;C Commission Income by Line of Business</t>
    </r>
  </si>
  <si>
    <r>
      <rPr>
        <b/>
        <sz val="11"/>
        <rFont val="Arial"/>
        <family val="2"/>
      </rPr>
      <t>Contingent Commission Detail</t>
    </r>
  </si>
  <si>
    <r>
      <rPr>
        <b/>
        <sz val="9"/>
        <color rgb="FFFFFFFF"/>
        <rFont val="Arial"/>
        <family val="2"/>
      </rPr>
      <t>Carrier</t>
    </r>
  </si>
  <si>
    <r>
      <rPr>
        <b/>
        <sz val="9"/>
        <color rgb="FFFFFFFF"/>
        <rFont val="Arial"/>
        <family val="2"/>
      </rPr>
      <t>Notes</t>
    </r>
  </si>
  <si>
    <r>
      <rPr>
        <sz val="9"/>
        <rFont val="Arial MT"/>
        <family val="2"/>
      </rPr>
      <t>Everest National</t>
    </r>
  </si>
  <si>
    <r>
      <rPr>
        <sz val="9"/>
        <rFont val="Arial MT"/>
        <family val="2"/>
      </rPr>
      <t>Profit-sharing; stable</t>
    </r>
  </si>
  <si>
    <r>
      <rPr>
        <sz val="9"/>
        <rFont val="Arial MT"/>
        <family val="2"/>
      </rPr>
      <t>SouthCoast Mutual</t>
    </r>
  </si>
  <si>
    <r>
      <rPr>
        <sz val="9"/>
        <rFont val="Arial MT"/>
        <family val="2"/>
      </rPr>
      <t>Volume-based; stable</t>
    </r>
  </si>
  <si>
    <r>
      <rPr>
        <sz val="9"/>
        <rFont val="Arial MT"/>
        <family val="2"/>
      </rPr>
      <t>Atlantic Specialty Group</t>
    </r>
  </si>
  <si>
    <r>
      <rPr>
        <sz val="9"/>
        <rFont val="Arial MT"/>
        <family val="2"/>
      </rPr>
      <t>Growth bonus; stable</t>
    </r>
  </si>
  <si>
    <r>
      <rPr>
        <sz val="9"/>
        <rFont val="Arial MT"/>
        <family val="2"/>
      </rPr>
      <t>Patriot Underwriters</t>
    </r>
  </si>
  <si>
    <r>
      <rPr>
        <sz val="9"/>
        <rFont val="Arial MT"/>
        <family val="2"/>
      </rPr>
      <t>New — Coastal Surplus Lines</t>
    </r>
  </si>
  <si>
    <r>
      <rPr>
        <sz val="9"/>
        <rFont val="Arial MT"/>
        <family val="2"/>
      </rPr>
      <t xml:space="preserve">First year; one-time signing bonus
</t>
    </r>
    <r>
      <rPr>
        <sz val="9"/>
        <rFont val="Arial MT"/>
        <family val="2"/>
      </rPr>
      <t>component</t>
    </r>
  </si>
  <si>
    <r>
      <rPr>
        <sz val="9"/>
        <rFont val="Arial MT"/>
        <family val="2"/>
      </rPr>
      <t>Total Contingent Commissions</t>
    </r>
  </si>
  <si>
    <r>
      <rPr>
        <b/>
        <sz val="11"/>
        <rFont val="Arial"/>
        <family val="2"/>
      </rPr>
      <t>Top 10 Accounts by FY 2025 Revenue</t>
    </r>
  </si>
  <si>
    <r>
      <rPr>
        <b/>
        <sz val="9"/>
        <color rgb="FFFFFFFF"/>
        <rFont val="Arial"/>
        <family val="2"/>
      </rPr>
      <t>Account</t>
    </r>
  </si>
  <si>
    <r>
      <rPr>
        <b/>
        <sz val="9"/>
        <color rgb="FFFFFFFF"/>
        <rFont val="Arial"/>
        <family val="2"/>
      </rPr>
      <t>Revenue</t>
    </r>
  </si>
  <si>
    <r>
      <rPr>
        <b/>
        <sz val="9"/>
        <color rgb="FFFFFFFF"/>
        <rFont val="Arial"/>
        <family val="2"/>
      </rPr>
      <t>% of Total</t>
    </r>
  </si>
  <si>
    <r>
      <rPr>
        <b/>
        <sz val="9"/>
        <color rgb="FFFFFFFF"/>
        <rFont val="Arial"/>
        <family val="2"/>
      </rPr>
      <t>Primary Line</t>
    </r>
  </si>
  <si>
    <r>
      <rPr>
        <sz val="9"/>
        <rFont val="Arial MT"/>
        <family val="2"/>
      </rPr>
      <t>Marchetti Development Group, LLC</t>
    </r>
  </si>
  <si>
    <r>
      <rPr>
        <sz val="9"/>
        <rFont val="Arial MT"/>
        <family val="2"/>
      </rPr>
      <t>Property / GL / WC</t>
    </r>
  </si>
  <si>
    <r>
      <rPr>
        <sz val="9"/>
        <rFont val="Arial MT"/>
        <family val="2"/>
      </rPr>
      <t>SunBelt Hospitality Partners</t>
    </r>
  </si>
  <si>
    <r>
      <rPr>
        <sz val="9"/>
        <rFont val="Arial MT"/>
        <family val="2"/>
      </rPr>
      <t>Property / GL / Liquor</t>
    </r>
  </si>
  <si>
    <r>
      <rPr>
        <sz val="9"/>
        <rFont val="Arial MT"/>
        <family val="2"/>
      </rPr>
      <t>Tri-County Medical Associates</t>
    </r>
  </si>
  <si>
    <r>
      <rPr>
        <sz val="9"/>
        <rFont val="Arial MT"/>
        <family val="2"/>
      </rPr>
      <t>Professional Liability</t>
    </r>
  </si>
  <si>
    <r>
      <rPr>
        <sz val="9"/>
        <rFont val="Arial MT"/>
        <family val="2"/>
      </rPr>
      <t>Gulf Atlantic Marine Services</t>
    </r>
  </si>
  <si>
    <r>
      <rPr>
        <sz val="9"/>
        <rFont val="Arial MT"/>
        <family val="2"/>
      </rPr>
      <t>Marine / GL / WC</t>
    </r>
  </si>
  <si>
    <r>
      <rPr>
        <sz val="9"/>
        <rFont val="Arial MT"/>
        <family val="2"/>
      </rPr>
      <t>Broward Commercial Realty Trust</t>
    </r>
  </si>
  <si>
    <r>
      <rPr>
        <sz val="9"/>
        <rFont val="Arial MT"/>
        <family val="2"/>
      </rPr>
      <t>Property / Umbrella</t>
    </r>
  </si>
  <si>
    <r>
      <rPr>
        <sz val="9"/>
        <rFont val="Arial MT"/>
        <family val="2"/>
      </rPr>
      <t>Southeast Contractors Alliance</t>
    </r>
  </si>
  <si>
    <r>
      <rPr>
        <sz val="9"/>
        <rFont val="Arial MT"/>
        <family val="2"/>
      </rPr>
      <t>GL / WC / Auto</t>
    </r>
  </si>
  <si>
    <r>
      <rPr>
        <sz val="9"/>
        <rFont val="Arial MT"/>
        <family val="2"/>
      </rPr>
      <t>Coastal Living Communities</t>
    </r>
  </si>
  <si>
    <r>
      <rPr>
        <sz val="9"/>
        <rFont val="Arial MT"/>
        <family val="2"/>
      </rPr>
      <t>Property / GL</t>
    </r>
  </si>
  <si>
    <r>
      <rPr>
        <sz val="9"/>
        <rFont val="Arial MT"/>
        <family val="2"/>
      </rPr>
      <t>Premier Dining Concepts</t>
    </r>
  </si>
  <si>
    <r>
      <rPr>
        <sz val="9"/>
        <rFont val="Arial MT"/>
        <family val="2"/>
      </rPr>
      <t>Florida Physicians Network</t>
    </r>
  </si>
  <si>
    <r>
      <rPr>
        <sz val="9"/>
        <rFont val="Arial MT"/>
        <family val="2"/>
      </rPr>
      <t>Port Everglades Logistics</t>
    </r>
  </si>
  <si>
    <r>
      <rPr>
        <sz val="9"/>
        <rFont val="Arial MT"/>
        <family val="2"/>
      </rPr>
      <t>Marine / Cargo / GL</t>
    </r>
  </si>
  <si>
    <r>
      <rPr>
        <sz val="9"/>
        <rFont val="Arial MT"/>
        <family val="2"/>
      </rPr>
      <t>Top 10 Subtotal</t>
    </r>
  </si>
  <si>
    <r>
      <rPr>
        <sz val="9"/>
        <rFont val="Arial MT"/>
        <family val="2"/>
      </rPr>
      <t>All Other Accounts (~380 policies)</t>
    </r>
  </si>
  <si>
    <r>
      <rPr>
        <b/>
        <sz val="12"/>
        <color rgb="FF1F4E79"/>
        <rFont val="Arial"/>
        <family val="2"/>
      </rPr>
      <t xml:space="preserve">Exhibit 3: Summarized Bank Activity — FY 2025 (Primary Operating Account)
</t>
    </r>
    <r>
      <rPr>
        <i/>
        <sz val="9"/>
        <color rgb="FF666666"/>
        <rFont val="Arial"/>
        <family val="2"/>
      </rPr>
      <t>(All figures in USD thousands)</t>
    </r>
  </si>
  <si>
    <r>
      <rPr>
        <b/>
        <sz val="9"/>
        <color rgb="FFFFFFFF"/>
        <rFont val="Arial"/>
        <family val="2"/>
      </rPr>
      <t>Month</t>
    </r>
  </si>
  <si>
    <r>
      <rPr>
        <b/>
        <sz val="9"/>
        <color rgb="FFFFFFFF"/>
        <rFont val="Arial"/>
        <family val="2"/>
      </rPr>
      <t>Deposits</t>
    </r>
  </si>
  <si>
    <r>
      <rPr>
        <b/>
        <sz val="9"/>
        <color rgb="FFFFFFFF"/>
        <rFont val="Arial"/>
        <family val="2"/>
      </rPr>
      <t>Disbursements</t>
    </r>
  </si>
  <si>
    <r>
      <rPr>
        <b/>
        <sz val="9"/>
        <color rgb="FFFFFFFF"/>
        <rFont val="Arial"/>
        <family val="2"/>
      </rPr>
      <t>Ending Balance</t>
    </r>
  </si>
  <si>
    <r>
      <rPr>
        <sz val="9"/>
        <rFont val="Arial MT"/>
        <family val="2"/>
      </rPr>
      <t>January</t>
    </r>
  </si>
  <si>
    <r>
      <rPr>
        <sz val="9"/>
        <rFont val="Arial MT"/>
        <family val="2"/>
      </rPr>
      <t>February</t>
    </r>
  </si>
  <si>
    <r>
      <rPr>
        <sz val="9"/>
        <rFont val="Arial MT"/>
        <family val="2"/>
      </rPr>
      <t>March</t>
    </r>
  </si>
  <si>
    <r>
      <rPr>
        <sz val="9"/>
        <rFont val="Arial MT"/>
        <family val="2"/>
      </rPr>
      <t>April</t>
    </r>
  </si>
  <si>
    <r>
      <rPr>
        <sz val="9"/>
        <rFont val="Arial MT"/>
        <family val="2"/>
      </rPr>
      <t>May</t>
    </r>
  </si>
  <si>
    <r>
      <rPr>
        <sz val="9"/>
        <rFont val="Arial MT"/>
        <family val="2"/>
      </rPr>
      <t>June</t>
    </r>
  </si>
  <si>
    <r>
      <rPr>
        <sz val="9"/>
        <rFont val="Arial MT"/>
        <family val="2"/>
      </rPr>
      <t>July</t>
    </r>
  </si>
  <si>
    <r>
      <rPr>
        <sz val="9"/>
        <rFont val="Arial MT"/>
        <family val="2"/>
      </rPr>
      <t>August</t>
    </r>
  </si>
  <si>
    <r>
      <rPr>
        <sz val="9"/>
        <rFont val="Arial MT"/>
        <family val="2"/>
      </rPr>
      <t>September</t>
    </r>
  </si>
  <si>
    <r>
      <rPr>
        <sz val="9"/>
        <rFont val="Arial MT"/>
        <family val="2"/>
      </rPr>
      <t>October</t>
    </r>
  </si>
  <si>
    <r>
      <rPr>
        <sz val="9"/>
        <rFont val="Arial MT"/>
        <family val="2"/>
      </rPr>
      <t>November</t>
    </r>
  </si>
  <si>
    <r>
      <rPr>
        <sz val="9"/>
        <rFont val="Arial MT"/>
        <family val="2"/>
      </rPr>
      <t>December</t>
    </r>
  </si>
  <si>
    <r>
      <rPr>
        <sz val="9"/>
        <rFont val="Arial MT"/>
        <family val="2"/>
      </rPr>
      <t>Full Year Total</t>
    </r>
  </si>
  <si>
    <r>
      <rPr>
        <i/>
        <sz val="9"/>
        <color rgb="FF666666"/>
        <rFont val="Arial"/>
        <family val="2"/>
      </rPr>
      <t>Note: This reflects only the primary operating account. The agency maintains a separate premium trust account for fiduciary funds as required by state regulation. Premium trust activity is not reflected above.</t>
    </r>
  </si>
  <si>
    <r>
      <rPr>
        <b/>
        <sz val="12"/>
        <color rgb="FF1F4E79"/>
        <rFont val="Arial"/>
        <family val="2"/>
      </rPr>
      <t>Exhibit 5: Producer Economics &amp; Compensation Summary (FY 2025)</t>
    </r>
  </si>
  <si>
    <r>
      <rPr>
        <b/>
        <sz val="9"/>
        <color rgb="FFFFFFFF"/>
        <rFont val="Arial"/>
        <family val="2"/>
      </rPr>
      <t>Producer</t>
    </r>
  </si>
  <si>
    <r>
      <rPr>
        <b/>
        <sz val="9"/>
        <color rgb="FFFFFFFF"/>
        <rFont val="Arial"/>
        <family val="2"/>
      </rPr>
      <t>Book Revenue</t>
    </r>
  </si>
  <si>
    <r>
      <rPr>
        <b/>
        <sz val="9"/>
        <color rgb="FFFFFFFF"/>
        <rFont val="Arial"/>
        <family val="2"/>
      </rPr>
      <t>% of Agency</t>
    </r>
  </si>
  <si>
    <r>
      <rPr>
        <b/>
        <sz val="9"/>
        <color rgb="FFFFFFFF"/>
        <rFont val="Arial"/>
        <family val="2"/>
      </rPr>
      <t>Comp Structure</t>
    </r>
  </si>
  <si>
    <r>
      <rPr>
        <b/>
        <sz val="9"/>
        <color rgb="FFFFFFFF"/>
        <rFont val="Arial"/>
        <family val="2"/>
      </rPr>
      <t>Total Comp</t>
    </r>
  </si>
  <si>
    <r>
      <rPr>
        <b/>
        <sz val="9"/>
        <color rgb="FFFFFFFF"/>
        <rFont val="Arial"/>
        <family val="2"/>
      </rPr>
      <t>Comp as % of Book</t>
    </r>
  </si>
  <si>
    <r>
      <rPr>
        <sz val="9"/>
        <rFont val="Arial MT"/>
        <family val="2"/>
      </rPr>
      <t>Tony Marchetti (owner)</t>
    </r>
  </si>
  <si>
    <r>
      <rPr>
        <sz val="9"/>
        <rFont val="Arial MT"/>
        <family val="2"/>
      </rPr>
      <t>W-2 + distributions</t>
    </r>
  </si>
  <si>
    <r>
      <rPr>
        <sz val="9"/>
        <rFont val="Arial MT"/>
        <family val="2"/>
      </rPr>
      <t>15.8% (W-2 only)</t>
    </r>
  </si>
  <si>
    <r>
      <rPr>
        <sz val="9"/>
        <rFont val="Arial MT"/>
        <family val="2"/>
      </rPr>
      <t>Jennifer Oakes</t>
    </r>
  </si>
  <si>
    <r>
      <rPr>
        <sz val="9"/>
        <rFont val="Arial MT"/>
        <family val="2"/>
      </rPr>
      <t>Base + 35% commission</t>
    </r>
  </si>
  <si>
    <r>
      <rPr>
        <sz val="9"/>
        <rFont val="Arial MT"/>
        <family val="2"/>
      </rPr>
      <t>Carlos Medina</t>
    </r>
  </si>
  <si>
    <r>
      <rPr>
        <sz val="9"/>
        <rFont val="Arial MT"/>
        <family val="2"/>
      </rPr>
      <t>Base + 30% commission</t>
    </r>
  </si>
  <si>
    <r>
      <rPr>
        <sz val="9"/>
        <rFont val="Arial MT"/>
        <family val="2"/>
      </rPr>
      <t>David Park</t>
    </r>
  </si>
  <si>
    <r>
      <rPr>
        <sz val="9"/>
        <rFont val="Arial MT"/>
        <family val="2"/>
      </rPr>
      <t>Sarah Whitfield</t>
    </r>
  </si>
  <si>
    <r>
      <rPr>
        <sz val="9"/>
        <rFont val="Arial MT"/>
        <family val="2"/>
      </rPr>
      <t>Base + 28% commission</t>
    </r>
  </si>
  <si>
    <r>
      <rPr>
        <sz val="9"/>
        <rFont val="Arial MT"/>
        <family val="2"/>
      </rPr>
      <t>Ryan Torres</t>
    </r>
  </si>
  <si>
    <r>
      <rPr>
        <sz val="9"/>
        <rFont val="Arial MT"/>
        <family val="2"/>
      </rPr>
      <t>Base + 25% commission</t>
    </r>
  </si>
  <si>
    <r>
      <rPr>
        <sz val="9"/>
        <rFont val="Arial MT"/>
        <family val="2"/>
      </rPr>
      <t>Michelle Kaplan (benefits)</t>
    </r>
  </si>
  <si>
    <r>
      <rPr>
        <sz val="9"/>
        <rFont val="Arial MT"/>
        <family val="2"/>
      </rPr>
      <t>Base + 20% on new</t>
    </r>
  </si>
  <si>
    <r>
      <rPr>
        <sz val="9"/>
        <rFont val="Arial MT"/>
        <family val="2"/>
      </rPr>
      <t>House accounts (no producer)</t>
    </r>
  </si>
  <si>
    <r>
      <rPr>
        <sz val="9"/>
        <rFont val="Arial MT"/>
        <family val="2"/>
      </rPr>
      <t>Serviced by CSRs</t>
    </r>
  </si>
  <si>
    <r>
      <rPr>
        <sz val="9"/>
        <rFont val="Arial MT"/>
        <family val="2"/>
      </rPr>
      <t>Total</t>
    </r>
  </si>
  <si>
    <t>* Total producer comp of $2,341K shown here differs from the $2,620K “Producer Compensation” line on the P&amp;L. Management states the difference ($279K) relates to a signing bonus for a new producer hired in Q4 2025 and a retention bonus paid to Jennifer Oakes.</t>
  </si>
  <si>
    <r>
      <rPr>
        <b/>
        <sz val="12"/>
        <color rgb="FF1F4E79"/>
        <rFont val="Arial"/>
        <family val="2"/>
      </rPr>
      <t>Exhibit 6: Owner Compensation &amp; Related-Party Summary</t>
    </r>
  </si>
  <si>
    <r>
      <rPr>
        <b/>
        <sz val="9"/>
        <color rgb="FFFFFFFF"/>
        <rFont val="Arial"/>
        <family val="2"/>
      </rPr>
      <t>Item</t>
    </r>
  </si>
  <si>
    <r>
      <rPr>
        <sz val="9"/>
        <rFont val="Arial MT"/>
        <family val="2"/>
      </rPr>
      <t>Owner W-2 Compensation</t>
    </r>
  </si>
  <si>
    <r>
      <rPr>
        <sz val="9"/>
        <rFont val="Arial MT"/>
        <family val="2"/>
      </rPr>
      <t>S-Corp Distributions</t>
    </r>
  </si>
  <si>
    <r>
      <rPr>
        <sz val="9"/>
        <rFont val="Arial MT"/>
        <family val="2"/>
      </rPr>
      <t>Personal Vehicle (Porsche Cayenne)</t>
    </r>
  </si>
  <si>
    <r>
      <rPr>
        <sz val="9"/>
        <rFont val="Arial MT"/>
        <family val="2"/>
      </rPr>
      <t>Country Club (Boca Raton Resort)</t>
    </r>
  </si>
  <si>
    <r>
      <rPr>
        <sz val="9"/>
        <rFont val="Arial MT"/>
        <family val="2"/>
      </rPr>
      <t>Suite / Hospitality (Miami Heat)</t>
    </r>
  </si>
  <si>
    <r>
      <rPr>
        <sz val="9"/>
        <rFont val="Arial MT"/>
        <family val="2"/>
      </rPr>
      <t>Family Health Insurance</t>
    </r>
  </si>
  <si>
    <r>
      <rPr>
        <sz val="9"/>
        <rFont val="Arial MT"/>
        <family val="2"/>
      </rPr>
      <t>Life / Disability (owner only)</t>
    </r>
  </si>
  <si>
    <r>
      <rPr>
        <sz val="9"/>
        <rFont val="Arial MT"/>
        <family val="2"/>
      </rPr>
      <t>Marchetti Development Group, LLC — Insurance</t>
    </r>
  </si>
  <si>
    <r>
      <rPr>
        <sz val="9"/>
        <rFont val="Arial MT"/>
        <family val="2"/>
      </rPr>
      <t>Marchetti Development Group, LLC — Office Lease</t>
    </r>
  </si>
  <si>
    <t>Note: In July 2025, CRA relocated to a Class A office space in a building owned by Marchetti Development Group, LLC (100% owned by Tony Marchetti and his wife). The prior office lease with an unrelated landlord was $168K/year. The new lease is $240K/year (annualized), of which only $120K is reflected in FY 2025 (6 months). Tony states the new space is larger and includes a client conference center.</t>
  </si>
  <si>
    <t>Book of Business Acquisition: In January 2025, CRA acquired a small book of commercial property business from a retiring sole-proprietor agent for $1.16M ($840K allocated to book of business intangible, $320K to goodwill). Financed with a $900K seller note (5-year, 6% interest) and $260K cash. The acquired book generated approximately $480K in commission revenue in FY 2025. Retention on acquired accounts is tracking at approximately 72% through December 2025.</t>
  </si>
  <si>
    <t>Contingent Commission Spike: FY 2025 contingent commissions increased 68% YoY. Management states that $405K of the increase relates to a new carrier relationship (Coastal Surplus Lines) that included a one-time $250K signing/onboarding bonus in the first-year contingent payment.</t>
  </si>
  <si>
    <t>Benefits Division Growth: Benefits revenue grew from $120K (FY 2023) to $520K (FY 2025). Tony states this division is “the future of the agency” but it currently operates at approximately breakeven after allocating Michelle Kaplan’s compensation and dedicated technology costs.</t>
  </si>
  <si>
    <t>Technology Costs: FY 2025 includes $48K in one-time AMS migration consulting fees (Hawksoft to Applied Epic conversion completed in Q1 2025) and $22K in data cleanup costs</t>
  </si>
  <si>
    <t>Marketing Spend Spike: FY 2025 marketing includes $95K for a full agency rebrand (new logo, website, collateral) and $40K for Tony’s personal speaking engagements at three industry conferences, including travel for his wife</t>
  </si>
  <si>
    <t>Professional Fees: FY 2025 includes $72K in legal fees related to an E&amp;O claim filed by a former client alleging failure to procure adequate coverage. The claim is ongoing; agency E&amp;O carrier is defending. No reserve has been recorded.</t>
  </si>
  <si>
    <t xml:space="preserve">Rent &amp; Occupancy: The jump from $168K (FY 2024) to $285K (FY 2025) reflects six months at the old location plus six months at the new Marchetti-owned building. The annualized run-rate at the new location is $240K. </t>
  </si>
  <si>
    <t>Retention Rates: Overall client retention rate was 89% in FY 2025, down from 92% in FY 2024 and 93% in FY 2023. Tony attributes the decline to “market hardening” in commercial property. The agency does not track retention by producer.</t>
  </si>
  <si>
    <t>Other Income (FY 2025): Includes a $225K referral fee received from a personal lines agency to which CRA referred its entire personal lines book in late 2024. Tony states this was a one-time strategic decision to exit personal lines entirely.</t>
  </si>
  <si>
    <t>Column1</t>
  </si>
  <si>
    <t>$620 premiums</t>
  </si>
  <si>
    <t>$580 premiums</t>
  </si>
  <si>
    <t>$120 (July start)</t>
  </si>
  <si>
    <t>$450 (W-2)</t>
  </si>
  <si>
    <t>$2,341*</t>
  </si>
  <si>
    <t>FY 20232</t>
  </si>
  <si>
    <t>FY 20242</t>
  </si>
  <si>
    <t>FY 20253</t>
  </si>
  <si>
    <t>FY 2024/2023</t>
  </si>
  <si>
    <t>FY 2025/2024</t>
  </si>
  <si>
    <r>
      <rPr>
        <sz val="9"/>
        <color theme="1"/>
        <rFont val="Arial MT"/>
        <family val="2"/>
      </rPr>
      <t>P&amp;C Commission Income</t>
    </r>
  </si>
  <si>
    <r>
      <rPr>
        <sz val="9"/>
        <color theme="1"/>
        <rFont val="Arial MT"/>
        <family val="2"/>
      </rPr>
      <t>Contingent Commissions</t>
    </r>
  </si>
  <si>
    <r>
      <rPr>
        <sz val="9"/>
        <color theme="1"/>
        <rFont val="Arial MT"/>
        <family val="2"/>
      </rPr>
      <t>Agency Fees</t>
    </r>
  </si>
  <si>
    <r>
      <rPr>
        <sz val="9"/>
        <color theme="1"/>
        <rFont val="Arial MT"/>
        <family val="2"/>
      </rPr>
      <t>Benefits Division Revenue</t>
    </r>
  </si>
  <si>
    <r>
      <rPr>
        <sz val="9"/>
        <color theme="1"/>
        <rFont val="Arial MT"/>
        <family val="2"/>
      </rPr>
      <t>Other Income</t>
    </r>
  </si>
  <si>
    <r>
      <rPr>
        <sz val="9"/>
        <color theme="1"/>
        <rFont val="Arial MT"/>
        <family val="2"/>
      </rPr>
      <t>Producer Compensation</t>
    </r>
  </si>
  <si>
    <r>
      <rPr>
        <sz val="9"/>
        <color theme="1"/>
        <rFont val="Arial MT"/>
        <family val="2"/>
      </rPr>
      <t>Account Manager / CSR Salaries</t>
    </r>
  </si>
  <si>
    <r>
      <rPr>
        <sz val="9"/>
        <color theme="1"/>
        <rFont val="Arial MT"/>
        <family val="2"/>
      </rPr>
      <t>Administrative Salaries</t>
    </r>
  </si>
  <si>
    <r>
      <rPr>
        <sz val="9"/>
        <color theme="1"/>
        <rFont val="Arial MT"/>
        <family val="2"/>
      </rPr>
      <t>Owner Compensation (W-2)</t>
    </r>
  </si>
  <si>
    <r>
      <rPr>
        <sz val="9"/>
        <color theme="1"/>
        <rFont val="Arial MT"/>
        <family val="2"/>
      </rPr>
      <t>Payroll Taxes &amp; Benefits</t>
    </r>
  </si>
  <si>
    <r>
      <rPr>
        <sz val="9"/>
        <color theme="1"/>
        <rFont val="Arial MT"/>
        <family val="2"/>
      </rPr>
      <t>Rent &amp; Occupancy</t>
    </r>
  </si>
  <si>
    <r>
      <rPr>
        <sz val="9"/>
        <color theme="1"/>
        <rFont val="Arial MT"/>
        <family val="2"/>
      </rPr>
      <t>Technology &amp; AMS Licensing</t>
    </r>
  </si>
  <si>
    <r>
      <rPr>
        <sz val="9"/>
        <color theme="1"/>
        <rFont val="Arial MT"/>
        <family val="2"/>
      </rPr>
      <t>E&amp;O Insurance (Agency)</t>
    </r>
  </si>
  <si>
    <r>
      <rPr>
        <sz val="9"/>
        <color theme="1"/>
        <rFont val="Arial MT"/>
        <family val="2"/>
      </rPr>
      <t>Marketing &amp; Business Development</t>
    </r>
  </si>
  <si>
    <r>
      <rPr>
        <sz val="9"/>
        <color theme="1"/>
        <rFont val="Arial MT"/>
        <family val="2"/>
      </rPr>
      <t>Travel &amp; Entertainment</t>
    </r>
  </si>
  <si>
    <r>
      <rPr>
        <sz val="9"/>
        <color theme="1"/>
        <rFont val="Arial MT"/>
        <family val="2"/>
      </rPr>
      <t>Professional Fees (Legal/Accounting)</t>
    </r>
  </si>
  <si>
    <r>
      <rPr>
        <sz val="9"/>
        <color theme="1"/>
        <rFont val="Arial MT"/>
        <family val="2"/>
      </rPr>
      <t>Carrier Licensing &amp; Continuing Ed.</t>
    </r>
  </si>
  <si>
    <r>
      <rPr>
        <sz val="9"/>
        <color theme="1"/>
        <rFont val="Arial MT"/>
        <family val="2"/>
      </rPr>
      <t>Depreciation &amp; Amortization</t>
    </r>
  </si>
  <si>
    <r>
      <rPr>
        <sz val="9"/>
        <color theme="1"/>
        <rFont val="Arial MT"/>
        <family val="2"/>
      </rPr>
      <t>Miscellaneous / Other</t>
    </r>
  </si>
  <si>
    <r>
      <rPr>
        <sz val="9"/>
        <color theme="1"/>
        <rFont val="Arial MT"/>
        <family val="2"/>
      </rPr>
      <t>Interest Expense</t>
    </r>
  </si>
  <si>
    <r>
      <rPr>
        <sz val="9"/>
        <color theme="1"/>
        <rFont val="Arial MT"/>
        <family val="2"/>
      </rPr>
      <t>Other Non-Operating Income / (Expense)</t>
    </r>
  </si>
  <si>
    <r>
      <rPr>
        <sz val="9"/>
        <color theme="1"/>
        <rFont val="Arial MT"/>
        <family val="2"/>
      </rPr>
      <t>Income Tax Provision</t>
    </r>
  </si>
  <si>
    <r>
      <rPr>
        <b/>
        <sz val="9"/>
        <color theme="1"/>
        <rFont val="Arial MT"/>
        <family val="2"/>
      </rPr>
      <t>Total Operating Expenses</t>
    </r>
  </si>
  <si>
    <t>Validation Missing Value</t>
  </si>
  <si>
    <r>
      <rPr>
        <b/>
        <sz val="9"/>
        <color theme="1"/>
        <rFont val="Arial MT"/>
        <family val="2"/>
      </rPr>
      <t>Total Revenue</t>
    </r>
  </si>
  <si>
    <r>
      <rPr>
        <b/>
        <sz val="9"/>
        <color theme="1"/>
        <rFont val="Arial MT"/>
        <family val="2"/>
      </rPr>
      <t>Net Income</t>
    </r>
  </si>
  <si>
    <r>
      <rPr>
        <b/>
        <sz val="9"/>
        <color theme="1"/>
        <rFont val="Arial MT"/>
        <family val="2"/>
      </rPr>
      <t>Net Income Before Tax</t>
    </r>
  </si>
  <si>
    <r>
      <rPr>
        <b/>
        <sz val="9"/>
        <color theme="1"/>
        <rFont val="Arial MT"/>
        <family val="2"/>
      </rPr>
      <t>Operating Income (EBIT)</t>
    </r>
  </si>
  <si>
    <t>Share on Total Revenue</t>
  </si>
  <si>
    <t>Variations</t>
  </si>
  <si>
    <t>Severety 2024 vs 2023</t>
  </si>
  <si>
    <t>Severety 2025 vs 2024</t>
  </si>
  <si>
    <t>Size</t>
  </si>
  <si>
    <t>Variation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</si>
</sst>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>
    <font>
      <sz val="10"/>
      <color rgb="FF000000"/>
      <name val="Times New Roman"/>
      <charset val="204"/>
    </font>
    <font>
      <b/>
      <sz val="9"/>
      <name val="Arial"/>
    </font>
    <font>
      <sz val="9"/>
      <name val="Arial MT"/>
    </font>
    <font>
      <sz val="9"/>
      <color rgb="FF000000"/>
      <name val="Arial MT"/>
      <family val="2"/>
    </font>
    <font>
      <b/>
      <sz val="12"/>
      <color rgb="FF1F4E79"/>
      <name val="Arial"/>
      <family val="2"/>
    </font>
    <font>
      <i/>
      <sz val="9"/>
      <color rgb="FF666666"/>
      <name val="Arial"/>
      <family val="2"/>
    </font>
    <font>
      <b/>
      <sz val="9"/>
      <color rgb="FFFFFFFF"/>
      <name val="Arial"/>
      <family val="2"/>
    </font>
    <font>
      <sz val="9"/>
      <name val="Arial MT"/>
      <family val="2"/>
    </font>
    <font>
      <sz val="10"/>
      <color rgb="FF000000"/>
      <name val="Times New Roman"/>
      <charset val="204"/>
    </font>
    <font>
      <b/>
      <sz val="12"/>
      <name val="Arial"/>
    </font>
    <font>
      <b/>
      <sz val="11"/>
      <name val="Arial"/>
    </font>
    <font>
      <b/>
      <sz val="11"/>
      <name val="Arial"/>
      <family val="2"/>
    </font>
    <font>
      <i/>
      <sz val="9"/>
      <name val="Arial"/>
    </font>
    <font>
      <sz val="9"/>
      <color theme="1"/>
      <name val="Arial MT"/>
      <family val="2"/>
    </font>
    <font>
      <b/>
      <sz val="9"/>
      <color theme="0"/>
      <name val="Arial"/>
      <family val="2"/>
    </font>
    <font>
      <sz val="10"/>
      <color rgb="FFFF0000"/>
      <name val="Times New Roman"/>
      <family val="1"/>
    </font>
    <font>
      <b/>
      <sz val="10"/>
      <color theme="0"/>
      <name val="Times New Roman"/>
      <family val="1"/>
    </font>
    <font>
      <b/>
      <sz val="9"/>
      <name val="Arial"/>
      <family val="2"/>
    </font>
    <font>
      <sz val="10"/>
      <color rgb="FF000000"/>
      <name val="Times New Roman"/>
      <family val="1"/>
    </font>
    <font>
      <sz val="9"/>
      <color theme="1"/>
      <name val="Arial MT"/>
    </font>
    <font>
      <b/>
      <sz val="9"/>
      <color theme="1"/>
      <name val="Arial MT"/>
    </font>
    <font>
      <b/>
      <sz val="9"/>
      <color theme="1"/>
      <name val="Arial MT"/>
      <family val="2"/>
    </font>
    <font>
      <b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F2F2F2"/>
      </bottom>
      <diagonal/>
    </border>
    <border>
      <left style="thin">
        <color rgb="FFCCCCCC"/>
      </left>
      <right style="thin">
        <color rgb="FFCCCCCC"/>
      </right>
      <top style="thin">
        <color rgb="FFF2F2F2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F2F2F2"/>
      </bottom>
      <diagonal/>
    </border>
    <border>
      <left style="thin">
        <color rgb="FFCCCCCC"/>
      </left>
      <right/>
      <top style="thin">
        <color rgb="FFF2F2F2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F2F2F2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42">
    <xf numFmtId="0" fontId="0" fillId="0" borderId="0" xfId="0" applyAlignment="1">
      <alignment horizontal="left" vertical="top"/>
    </xf>
    <xf numFmtId="1" fontId="3" fillId="3" borderId="2" xfId="0" applyNumberFormat="1" applyFont="1" applyFill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0" fontId="2" fillId="3" borderId="2" xfId="0" applyFont="1" applyFill="1" applyBorder="1" applyAlignment="1">
      <alignment vertical="top" wrapText="1"/>
    </xf>
    <xf numFmtId="164" fontId="3" fillId="3" borderId="2" xfId="0" applyNumberFormat="1" applyFont="1" applyFill="1" applyBorder="1" applyAlignment="1">
      <alignment vertical="top" shrinkToFit="1"/>
    </xf>
    <xf numFmtId="164" fontId="3" fillId="0" borderId="3" xfId="0" applyNumberFormat="1" applyFont="1" applyBorder="1" applyAlignment="1">
      <alignment vertical="top" shrinkToFit="1"/>
    </xf>
    <xf numFmtId="164" fontId="3" fillId="3" borderId="1" xfId="0" applyNumberFormat="1" applyFont="1" applyFill="1" applyBorder="1" applyAlignment="1">
      <alignment vertical="top" shrinkToFit="1"/>
    </xf>
    <xf numFmtId="164" fontId="3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164" fontId="3" fillId="3" borderId="2" xfId="0" applyNumberFormat="1" applyFont="1" applyFill="1" applyBorder="1" applyAlignment="1">
      <alignment horizontal="right" vertical="top" shrinkToFit="1"/>
    </xf>
    <xf numFmtId="164" fontId="3" fillId="3" borderId="1" xfId="0" applyNumberFormat="1" applyFont="1" applyFill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0" fontId="0" fillId="3" borderId="1" xfId="0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0" fontId="0" fillId="3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 indent="5"/>
    </xf>
    <xf numFmtId="0" fontId="2" fillId="3" borderId="1" xfId="0" applyFont="1" applyFill="1" applyBorder="1" applyAlignment="1">
      <alignment horizontal="left" vertical="top" wrapText="1" indent="5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3" borderId="5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top" wrapText="1" indent="1"/>
    </xf>
    <xf numFmtId="0" fontId="0" fillId="0" borderId="5" xfId="0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1" fontId="3" fillId="0" borderId="8" xfId="0" applyNumberFormat="1" applyFont="1" applyBorder="1" applyAlignment="1">
      <alignment horizontal="right" vertical="top" shrinkToFit="1"/>
    </xf>
    <xf numFmtId="1" fontId="3" fillId="3" borderId="7" xfId="0" applyNumberFormat="1" applyFont="1" applyFill="1" applyBorder="1" applyAlignment="1">
      <alignment horizontal="right" vertical="top" shrinkToFit="1"/>
    </xf>
    <xf numFmtId="1" fontId="3" fillId="3" borderId="6" xfId="0" applyNumberFormat="1" applyFont="1" applyFill="1" applyBorder="1" applyAlignment="1">
      <alignment horizontal="right" vertical="top" shrinkToFit="1"/>
    </xf>
    <xf numFmtId="1" fontId="3" fillId="0" borderId="6" xfId="0" applyNumberFormat="1" applyFont="1" applyBorder="1" applyAlignment="1">
      <alignment horizontal="right" vertical="top" shrinkToFit="1"/>
    </xf>
    <xf numFmtId="0" fontId="0" fillId="0" borderId="6" xfId="0" applyBorder="1" applyAlignment="1">
      <alignment horizontal="left" wrapText="1"/>
    </xf>
    <xf numFmtId="0" fontId="2" fillId="0" borderId="6" xfId="0" applyFont="1" applyBorder="1" applyAlignment="1">
      <alignment horizontal="right" vertical="top" wrapText="1"/>
    </xf>
    <xf numFmtId="0" fontId="0" fillId="2" borderId="9" xfId="0" applyFill="1" applyBorder="1" applyAlignment="1">
      <alignment horizontal="left" wrapText="1"/>
    </xf>
    <xf numFmtId="0" fontId="1" fillId="2" borderId="10" xfId="0" applyFont="1" applyFill="1" applyBorder="1" applyAlignment="1">
      <alignment horizontal="right" vertical="top" wrapText="1"/>
    </xf>
    <xf numFmtId="0" fontId="1" fillId="2" borderId="11" xfId="0" applyFont="1" applyFill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3" fontId="3" fillId="0" borderId="14" xfId="0" applyNumberFormat="1" applyFont="1" applyBorder="1" applyAlignment="1">
      <alignment horizontal="right" vertical="top" shrinkToFit="1"/>
    </xf>
    <xf numFmtId="0" fontId="2" fillId="3" borderId="5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0" fillId="0" borderId="5" xfId="0" applyBorder="1" applyAlignment="1">
      <alignment wrapText="1"/>
    </xf>
    <xf numFmtId="164" fontId="3" fillId="3" borderId="7" xfId="0" applyNumberFormat="1" applyFont="1" applyFill="1" applyBorder="1" applyAlignment="1">
      <alignment vertical="top" shrinkToFit="1"/>
    </xf>
    <xf numFmtId="164" fontId="3" fillId="0" borderId="8" xfId="0" applyNumberFormat="1" applyFont="1" applyBorder="1" applyAlignment="1">
      <alignment vertical="top" shrinkToFit="1"/>
    </xf>
    <xf numFmtId="164" fontId="3" fillId="3" borderId="6" xfId="0" applyNumberFormat="1" applyFont="1" applyFill="1" applyBorder="1" applyAlignment="1">
      <alignment vertical="top" shrinkToFit="1"/>
    </xf>
    <xf numFmtId="164" fontId="3" fillId="0" borderId="6" xfId="0" applyNumberFormat="1" applyFont="1" applyBorder="1" applyAlignment="1">
      <alignment vertical="top" shrinkToFit="1"/>
    </xf>
    <xf numFmtId="0" fontId="0" fillId="0" borderId="6" xfId="0" applyBorder="1" applyAlignment="1">
      <alignment wrapText="1"/>
    </xf>
    <xf numFmtId="9" fontId="3" fillId="3" borderId="7" xfId="0" applyNumberFormat="1" applyFont="1" applyFill="1" applyBorder="1" applyAlignment="1">
      <alignment vertical="top" shrinkToFi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 vertical="top" wrapText="1"/>
    </xf>
    <xf numFmtId="0" fontId="0" fillId="3" borderId="6" xfId="0" applyFill="1" applyBorder="1" applyAlignment="1">
      <alignment horizontal="right" vertical="top" wrapText="1"/>
    </xf>
    <xf numFmtId="0" fontId="0" fillId="3" borderId="6" xfId="0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top" wrapText="1"/>
    </xf>
    <xf numFmtId="0" fontId="2" fillId="3" borderId="13" xfId="0" applyFont="1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right" vertical="top" wrapText="1"/>
    </xf>
    <xf numFmtId="0" fontId="0" fillId="0" borderId="6" xfId="0" applyBorder="1" applyAlignment="1">
      <alignment horizontal="left" vertical="center" wrapText="1"/>
    </xf>
    <xf numFmtId="164" fontId="3" fillId="3" borderId="14" xfId="0" applyNumberFormat="1" applyFont="1" applyFill="1" applyBorder="1" applyAlignment="1">
      <alignment horizontal="right" vertical="top" shrinkToFit="1"/>
    </xf>
    <xf numFmtId="0" fontId="0" fillId="0" borderId="12" xfId="0" applyBorder="1" applyAlignment="1">
      <alignment horizontal="left" wrapText="1"/>
    </xf>
    <xf numFmtId="164" fontId="3" fillId="0" borderId="6" xfId="0" applyNumberFormat="1" applyFont="1" applyBorder="1" applyAlignment="1">
      <alignment horizontal="right" vertical="top" shrinkToFit="1"/>
    </xf>
    <xf numFmtId="164" fontId="3" fillId="3" borderId="6" xfId="0" applyNumberFormat="1" applyFont="1" applyFill="1" applyBorder="1" applyAlignment="1">
      <alignment horizontal="right" vertical="top" shrinkToFit="1"/>
    </xf>
    <xf numFmtId="0" fontId="1" fillId="2" borderId="10" xfId="0" applyFont="1" applyFill="1" applyBorder="1" applyAlignment="1">
      <alignment horizontal="left" vertical="top" wrapText="1" indent="1"/>
    </xf>
    <xf numFmtId="9" fontId="3" fillId="0" borderId="14" xfId="0" applyNumberFormat="1" applyFont="1" applyBorder="1" applyAlignment="1">
      <alignment horizontal="right" vertical="top" shrinkToFit="1"/>
    </xf>
    <xf numFmtId="0" fontId="0" fillId="0" borderId="14" xfId="0" applyBorder="1" applyAlignment="1">
      <alignment horizontal="left" wrapText="1"/>
    </xf>
    <xf numFmtId="2" fontId="2" fillId="3" borderId="1" xfId="0" applyNumberFormat="1" applyFont="1" applyFill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2" fontId="2" fillId="3" borderId="14" xfId="0" applyNumberFormat="1" applyFont="1" applyFill="1" applyBorder="1" applyAlignment="1">
      <alignment horizontal="right" vertical="top" wrapText="1"/>
    </xf>
    <xf numFmtId="1" fontId="2" fillId="3" borderId="1" xfId="0" applyNumberFormat="1" applyFont="1" applyFill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wrapText="1"/>
    </xf>
    <xf numFmtId="1" fontId="2" fillId="0" borderId="3" xfId="0" applyNumberFormat="1" applyFont="1" applyBorder="1" applyAlignment="1">
      <alignment horizontal="right" vertical="top" wrapText="1"/>
    </xf>
    <xf numFmtId="1" fontId="0" fillId="0" borderId="3" xfId="0" applyNumberFormat="1" applyBorder="1" applyAlignment="1">
      <alignment horizontal="left" wrapText="1"/>
    </xf>
    <xf numFmtId="2" fontId="0" fillId="3" borderId="1" xfId="0" applyNumberFormat="1" applyFill="1" applyBorder="1" applyAlignment="1">
      <alignment horizontal="left" wrapText="1"/>
    </xf>
    <xf numFmtId="2" fontId="2" fillId="0" borderId="14" xfId="0" applyNumberFormat="1" applyFont="1" applyBorder="1" applyAlignment="1">
      <alignment horizontal="right" vertical="top" wrapText="1"/>
    </xf>
    <xf numFmtId="1" fontId="0" fillId="3" borderId="1" xfId="0" applyNumberFormat="1" applyFill="1" applyBorder="1" applyAlignment="1">
      <alignment horizontal="left" wrapText="1"/>
    </xf>
    <xf numFmtId="1" fontId="2" fillId="0" borderId="14" xfId="0" applyNumberFormat="1" applyFont="1" applyBorder="1" applyAlignment="1">
      <alignment horizontal="right" vertical="top" wrapText="1"/>
    </xf>
    <xf numFmtId="2" fontId="2" fillId="3" borderId="2" xfId="0" applyNumberFormat="1" applyFont="1" applyFill="1" applyBorder="1" applyAlignment="1">
      <alignment horizontal="right" vertical="top" wrapText="1"/>
    </xf>
    <xf numFmtId="2" fontId="0" fillId="3" borderId="1" xfId="0" applyNumberForma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left" wrapText="1"/>
    </xf>
    <xf numFmtId="1" fontId="2" fillId="3" borderId="14" xfId="0" applyNumberFormat="1" applyFont="1" applyFill="1" applyBorder="1" applyAlignment="1">
      <alignment horizontal="right" vertical="top" wrapText="1"/>
    </xf>
    <xf numFmtId="1" fontId="2" fillId="3" borderId="2" xfId="0" applyNumberFormat="1" applyFont="1" applyFill="1" applyBorder="1" applyAlignment="1">
      <alignment vertical="top" wrapText="1"/>
    </xf>
    <xf numFmtId="1" fontId="2" fillId="0" borderId="3" xfId="0" applyNumberFormat="1" applyFont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1" fontId="0" fillId="0" borderId="1" xfId="0" applyNumberFormat="1" applyBorder="1" applyAlignment="1">
      <alignment wrapText="1"/>
    </xf>
    <xf numFmtId="1" fontId="0" fillId="3" borderId="6" xfId="0" applyNumberFormat="1" applyFill="1" applyBorder="1" applyAlignment="1">
      <alignment horizontal="left" wrapText="1"/>
    </xf>
    <xf numFmtId="1" fontId="0" fillId="0" borderId="3" xfId="0" applyNumberFormat="1" applyBorder="1" applyAlignment="1">
      <alignment horizontal="left" vertical="center" wrapText="1"/>
    </xf>
    <xf numFmtId="1" fontId="0" fillId="0" borderId="8" xfId="0" applyNumberFormat="1" applyBorder="1" applyAlignment="1">
      <alignment horizontal="left" vertical="center" wrapText="1"/>
    </xf>
    <xf numFmtId="1" fontId="0" fillId="0" borderId="6" xfId="0" applyNumberFormat="1" applyBorder="1" applyAlignment="1">
      <alignment horizontal="left" wrapText="1"/>
    </xf>
    <xf numFmtId="1" fontId="3" fillId="0" borderId="14" xfId="0" applyNumberFormat="1" applyFont="1" applyBorder="1" applyAlignment="1">
      <alignment horizontal="right" vertical="top" shrinkToFit="1"/>
    </xf>
    <xf numFmtId="1" fontId="3" fillId="0" borderId="12" xfId="0" applyNumberFormat="1" applyFont="1" applyBorder="1" applyAlignment="1">
      <alignment horizontal="right" vertical="top" shrinkToFit="1"/>
    </xf>
    <xf numFmtId="0" fontId="15" fillId="0" borderId="0" xfId="0" applyFont="1" applyAlignment="1">
      <alignment horizontal="left" vertical="top"/>
    </xf>
    <xf numFmtId="9" fontId="0" fillId="0" borderId="0" xfId="1" applyFont="1" applyAlignment="1">
      <alignment horizontal="left" vertical="top"/>
    </xf>
    <xf numFmtId="0" fontId="16" fillId="2" borderId="12" xfId="0" applyFont="1" applyFill="1" applyBorder="1" applyAlignment="1">
      <alignment horizontal="left" wrapText="1"/>
    </xf>
    <xf numFmtId="0" fontId="17" fillId="2" borderId="12" xfId="0" applyFont="1" applyFill="1" applyBorder="1" applyAlignment="1">
      <alignment horizontal="right" vertical="top" wrapText="1"/>
    </xf>
    <xf numFmtId="0" fontId="14" fillId="2" borderId="12" xfId="0" applyFont="1" applyFill="1" applyBorder="1" applyAlignment="1">
      <alignment horizontal="right" vertical="top" wrapText="1"/>
    </xf>
    <xf numFmtId="1" fontId="13" fillId="4" borderId="12" xfId="0" applyNumberFormat="1" applyFont="1" applyFill="1" applyBorder="1" applyAlignment="1">
      <alignment horizontal="right" vertical="top" shrinkToFit="1"/>
    </xf>
    <xf numFmtId="1" fontId="13" fillId="4" borderId="15" xfId="0" applyNumberFormat="1" applyFont="1" applyFill="1" applyBorder="1" applyAlignment="1">
      <alignment horizontal="right" vertical="top" shrinkToFit="1"/>
    </xf>
    <xf numFmtId="1" fontId="13" fillId="3" borderId="12" xfId="0" applyNumberFormat="1" applyFont="1" applyFill="1" applyBorder="1" applyAlignment="1">
      <alignment horizontal="right" vertical="top" shrinkToFit="1"/>
    </xf>
    <xf numFmtId="9" fontId="13" fillId="4" borderId="12" xfId="1" applyFont="1" applyFill="1" applyBorder="1" applyAlignment="1">
      <alignment horizontal="right" vertical="top" shrinkToFit="1"/>
    </xf>
    <xf numFmtId="9" fontId="13" fillId="4" borderId="15" xfId="1" applyFont="1" applyFill="1" applyBorder="1" applyAlignment="1">
      <alignment horizontal="right" vertical="top" shrinkToFit="1"/>
    </xf>
    <xf numFmtId="9" fontId="13" fillId="3" borderId="12" xfId="1" applyFont="1" applyFill="1" applyBorder="1" applyAlignment="1">
      <alignment horizontal="right" vertical="top" shrinkToFit="1"/>
    </xf>
    <xf numFmtId="0" fontId="19" fillId="4" borderId="12" xfId="0" applyFont="1" applyFill="1" applyBorder="1" applyAlignment="1">
      <alignment horizontal="left" vertical="top" wrapText="1" indent="1"/>
    </xf>
    <xf numFmtId="0" fontId="19" fillId="3" borderId="12" xfId="0" applyFont="1" applyFill="1" applyBorder="1" applyAlignment="1">
      <alignment horizontal="left" vertical="top" wrapText="1" indent="1"/>
    </xf>
    <xf numFmtId="0" fontId="19" fillId="3" borderId="12" xfId="0" applyFont="1" applyFill="1" applyBorder="1" applyAlignment="1">
      <alignment horizontal="left" vertical="top" wrapText="1"/>
    </xf>
    <xf numFmtId="0" fontId="19" fillId="4" borderId="12" xfId="0" applyFont="1" applyFill="1" applyBorder="1" applyAlignment="1">
      <alignment horizontal="left" vertical="top" wrapText="1"/>
    </xf>
    <xf numFmtId="0" fontId="20" fillId="4" borderId="12" xfId="0" applyFont="1" applyFill="1" applyBorder="1" applyAlignment="1">
      <alignment horizontal="left" vertical="top" wrapText="1"/>
    </xf>
    <xf numFmtId="1" fontId="21" fillId="4" borderId="12" xfId="0" applyNumberFormat="1" applyFont="1" applyFill="1" applyBorder="1" applyAlignment="1">
      <alignment horizontal="right" vertical="top" shrinkToFit="1"/>
    </xf>
    <xf numFmtId="9" fontId="21" fillId="4" borderId="12" xfId="1" applyFont="1" applyFill="1" applyBorder="1" applyAlignment="1">
      <alignment horizontal="right" vertical="top" shrinkToFit="1"/>
    </xf>
    <xf numFmtId="0" fontId="22" fillId="0" borderId="0" xfId="0" applyFont="1" applyAlignment="1">
      <alignment horizontal="left" vertical="top"/>
    </xf>
    <xf numFmtId="0" fontId="20" fillId="3" borderId="12" xfId="0" applyFont="1" applyFill="1" applyBorder="1" applyAlignment="1">
      <alignment horizontal="left" vertical="top" wrapText="1"/>
    </xf>
    <xf numFmtId="1" fontId="21" fillId="3" borderId="12" xfId="0" applyNumberFormat="1" applyFont="1" applyFill="1" applyBorder="1" applyAlignment="1">
      <alignment horizontal="right" vertical="top" shrinkToFit="1"/>
    </xf>
    <xf numFmtId="9" fontId="21" fillId="3" borderId="12" xfId="1" applyFont="1" applyFill="1" applyBorder="1" applyAlignment="1">
      <alignment horizontal="right" vertical="top" shrinkToFit="1"/>
    </xf>
    <xf numFmtId="0" fontId="20" fillId="4" borderId="6" xfId="0" applyFont="1" applyFill="1" applyBorder="1" applyAlignment="1">
      <alignment horizontal="left" vertical="top" wrapText="1" indent="1"/>
    </xf>
    <xf numFmtId="1" fontId="21" fillId="4" borderId="6" xfId="0" applyNumberFormat="1" applyFont="1" applyFill="1" applyBorder="1" applyAlignment="1">
      <alignment horizontal="right" vertical="top" shrinkToFit="1"/>
    </xf>
    <xf numFmtId="9" fontId="21" fillId="4" borderId="6" xfId="1" applyFont="1" applyFill="1" applyBorder="1" applyAlignment="1">
      <alignment horizontal="right" vertical="top" shrinkToFit="1"/>
    </xf>
    <xf numFmtId="0" fontId="20" fillId="4" borderId="12" xfId="0" applyFont="1" applyFill="1" applyBorder="1" applyAlignment="1">
      <alignment horizontal="left" vertical="top" wrapText="1" indent="1"/>
    </xf>
    <xf numFmtId="0" fontId="20" fillId="3" borderId="12" xfId="0" applyFont="1" applyFill="1" applyBorder="1" applyAlignment="1">
      <alignment horizontal="left" vertical="top" wrapText="1" inden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/>
    </xf>
    <xf numFmtId="0" fontId="14" fillId="2" borderId="12" xfId="0" applyFont="1" applyFill="1" applyBorder="1" applyAlignment="1">
      <alignment horizontal="center" vertical="top" wrapText="1"/>
    </xf>
    <xf numFmtId="9" fontId="0" fillId="0" borderId="0" xfId="1" applyFont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9" fontId="18" fillId="5" borderId="4" xfId="1" applyFont="1" applyFill="1" applyBorder="1" applyAlignment="1">
      <alignment horizontal="center" vertical="center"/>
    </xf>
    <xf numFmtId="9" fontId="0" fillId="5" borderId="4" xfId="1" applyFont="1" applyFill="1" applyBorder="1" applyAlignment="1">
      <alignment horizontal="center" vertical="center"/>
    </xf>
    <xf numFmtId="9" fontId="18" fillId="6" borderId="4" xfId="1" applyFont="1" applyFill="1" applyBorder="1" applyAlignment="1">
      <alignment horizontal="center" vertical="center"/>
    </xf>
    <xf numFmtId="9" fontId="0" fillId="6" borderId="4" xfId="1" applyFont="1" applyFill="1" applyBorder="1" applyAlignment="1">
      <alignment horizontal="center" vertical="center"/>
    </xf>
    <xf numFmtId="9" fontId="0" fillId="7" borderId="4" xfId="1" applyFont="1" applyFill="1" applyBorder="1" applyAlignment="1">
      <alignment horizontal="center" vertical="center"/>
    </xf>
    <xf numFmtId="9" fontId="0" fillId="8" borderId="4" xfId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47">
    <dxf>
      <border outline="0">
        <left style="thin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numFmt numFmtId="2" formatCode="0.00"/>
      <alignment horizontal="righ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right style="thin">
          <color rgb="FFCCCCCC"/>
        </right>
      </border>
    </dxf>
    <dxf>
      <border outline="0">
        <left style="thin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numFmt numFmtId="1" formatCode="0"/>
      <alignment horizontal="righ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1F4E79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MT"/>
        <family val="2"/>
        <scheme val="none"/>
      </font>
      <numFmt numFmtId="3" formatCode="#,##0"/>
      <alignment horizontal="right" vertical="top" textRotation="0" wrapText="0" indent="0" justifyLastLine="0" shrinkToFit="1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1F4E79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left style="thin">
          <color rgb="FFCCCCCC"/>
        </left>
      </border>
    </dxf>
    <dxf>
      <numFmt numFmtId="2" formatCode="0.00"/>
    </dxf>
    <dxf>
      <border outline="0">
        <right style="thin">
          <color rgb="FFCCCCCC"/>
        </right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1F4E79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left style="thin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numFmt numFmtId="1" formatCode="0"/>
      <fill>
        <patternFill patternType="solid">
          <fgColor indexed="64"/>
          <bgColor rgb="FFF2F2F2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numFmt numFmtId="1" formatCode="0"/>
      <border outline="0">
        <left style="thin">
          <color rgb="FFCCCCCC"/>
        </left>
        <right style="thin">
          <color rgb="FFCCCCCC"/>
        </right>
      </border>
    </dxf>
    <dxf>
      <numFmt numFmtId="1" formatCode="0"/>
      <border outline="0">
        <right style="thin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fill>
        <patternFill patternType="solid">
          <fgColor indexed="64"/>
          <bgColor rgb="FFF2F2F2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1F4E79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left style="thin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numFmt numFmtId="1" formatCode="0"/>
      <fill>
        <patternFill patternType="solid">
          <fgColor indexed="64"/>
          <bgColor rgb="FFF2F2F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numFmt numFmtId="1" formatCode="0"/>
      <fill>
        <patternFill patternType="solid">
          <fgColor indexed="64"/>
          <bgColor rgb="FFF2F2F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fill>
        <patternFill patternType="solid">
          <fgColor indexed="64"/>
          <bgColor rgb="FFF2F2F2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1F4E79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numFmt numFmtId="1" formatCode="0"/>
    </dxf>
    <dxf>
      <numFmt numFmtId="1" formatCode="0"/>
      <border outline="0">
        <right style="thin">
          <color rgb="FFCCCCCC"/>
        </right>
      </border>
    </dxf>
    <dxf>
      <numFmt numFmtId="1" formatCode="0"/>
      <border outline="0">
        <right style="thin">
          <color rgb="FFCCCCCC"/>
        </right>
      </border>
    </dxf>
    <dxf>
      <border outline="0">
        <right style="thin">
          <color rgb="FFCCCCCC"/>
        </right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1F4E79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5E3327-A7D2-4E96-80A8-27DC8DC16CCA}" name="Table2" displayName="Table2" ref="A2:D34" totalsRowShown="0" headerRowDxfId="46" headerRowBorderDxfId="45" tableBorderDxfId="44">
  <autoFilter ref="A2:D34" xr:uid="{3B5E3327-A7D2-4E96-80A8-27DC8DC16CCA}"/>
  <tableColumns count="4">
    <tableColumn id="1" xr3:uid="{96F82332-6CD1-4142-A124-C4FB24A8CD30}" name="Column1" dataDxfId="43"/>
    <tableColumn id="2" xr3:uid="{A2A08060-6F2A-489B-88FE-5AC2484040DD}" name="FY 2023" dataDxfId="42"/>
    <tableColumn id="3" xr3:uid="{C2C19A11-5239-4F32-9A8F-D7227A148C6A}" name="FY 2024" dataDxfId="41"/>
    <tableColumn id="4" xr3:uid="{6F538F82-D1E3-49BF-ADC6-6CCC685E3C19}" name="FY 2025" dataDxfId="4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777A35-B080-4D8A-AC63-C6E1116505FD}" name="Table3" displayName="Table3" ref="A2:E11" totalsRowShown="0" headerRowDxfId="39" headerRowBorderDxfId="38" tableBorderDxfId="37">
  <autoFilter ref="A2:E11" xr:uid="{46777A35-B080-4D8A-AC63-C6E1116505FD}"/>
  <tableColumns count="5">
    <tableColumn id="1" xr3:uid="{8F2CA406-5EB8-4C11-BADE-AB390709287C}" name="Line of Business" dataDxfId="36"/>
    <tableColumn id="2" xr3:uid="{EB00058D-9E98-4C8E-AB88-376F26116BC9}" name="Written Premium" dataDxfId="35"/>
    <tableColumn id="3" xr3:uid="{274A3CA6-4835-445F-8C51-E01F20E3E89F}" name="Avg. Commission %" dataDxfId="34"/>
    <tableColumn id="4" xr3:uid="{209F91BF-F2CF-4666-9F21-2A7CD45B134D}" name="Commission_x000a_Revenue" dataDxfId="33"/>
    <tableColumn id="5" xr3:uid="{EE169489-F02D-4DF9-AEFD-34563F5551DA}" name="% of P&amp;C Revenue" dataDxfId="3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310861-44FB-4B2F-BDB3-47C8951CEAD0}" name="Table4" displayName="Table4" ref="A2:E9" totalsRowShown="0" headerRowDxfId="31" headerRowBorderDxfId="30" tableBorderDxfId="29" totalsRowBorderDxfId="28">
  <autoFilter ref="A2:E9" xr:uid="{15310861-44FB-4B2F-BDB3-47C8951CEAD0}"/>
  <tableColumns count="5">
    <tableColumn id="1" xr3:uid="{8DA35E80-1DF7-4E6E-B230-EDB4BB4F765F}" name="Carrier" dataDxfId="27"/>
    <tableColumn id="2" xr3:uid="{041DF504-30D6-4557-937F-F19B7F532378}" name="FY 2023" dataDxfId="26"/>
    <tableColumn id="3" xr3:uid="{5FE3D3E3-81C8-4845-A735-84E5F0D91E5C}" name="FY 2024" dataDxfId="25"/>
    <tableColumn id="4" xr3:uid="{5DB60CF3-9710-4F44-8292-CE02902C69E2}" name="FY 2025" dataDxfId="24"/>
    <tableColumn id="5" xr3:uid="{2D3B8900-464C-4D35-A8DE-099396357EAF}" name="Notes" dataDxfId="2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BC6E7E-D7BC-4D40-8BCF-6D6EA3D19428}" name="Table5" displayName="Table5" ref="A2:D15" totalsRowShown="0" headerRowDxfId="22" headerRowBorderDxfId="21" tableBorderDxfId="20" totalsRowBorderDxfId="19">
  <autoFilter ref="A2:D15" xr:uid="{C8BC6E7E-D7BC-4D40-8BCF-6D6EA3D19428}"/>
  <tableColumns count="4">
    <tableColumn id="1" xr3:uid="{049914A9-528D-4365-B4D5-ED9F955D2B42}" name="Account" dataDxfId="18"/>
    <tableColumn id="2" xr3:uid="{276F08F7-4544-4D8B-9C5B-D087291A607B}" name="Revenue" dataDxfId="17"/>
    <tableColumn id="3" xr3:uid="{4CF84BA0-2B7A-48F2-A939-7FA9A1E91EA4}" name="% of Total" dataDxfId="16"/>
    <tableColumn id="4" xr3:uid="{74053A61-2711-42CA-9037-0A85CCD7789A}" name="Primary Li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9A53C-BED4-457C-AC7F-6568868C28FE}" name="Table6" displayName="Table6" ref="A2:D16" totalsRowShown="0" headerRowDxfId="15" headerRowBorderDxfId="14" tableBorderDxfId="13" totalsRowBorderDxfId="12">
  <autoFilter ref="A2:D16" xr:uid="{A569A53C-BED4-457C-AC7F-6568868C28FE}"/>
  <tableColumns count="4">
    <tableColumn id="1" xr3:uid="{79B42776-20A1-49E2-A5F0-F65B9499BB34}" name="Month" dataDxfId="11"/>
    <tableColumn id="2" xr3:uid="{70EB6875-E9B9-45A1-8350-96E69A10BE9D}" name="Deposits"/>
    <tableColumn id="3" xr3:uid="{5E525099-AD81-4A2D-959A-685D2A25C838}" name="Disbursements" dataDxfId="10"/>
    <tableColumn id="4" xr3:uid="{F0CA1F92-3EC1-46FB-814F-02F23A97785C}" name="Ending Balanc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94F65A-5591-4263-BE37-C4AC408E5F1E}" name="Table7" displayName="Table7" ref="A2:F12" totalsRowShown="0" headerRowDxfId="9" headerRowBorderDxfId="8" tableBorderDxfId="7" totalsRowBorderDxfId="6">
  <autoFilter ref="A2:F12" xr:uid="{A394F65A-5591-4263-BE37-C4AC408E5F1E}"/>
  <tableColumns count="6">
    <tableColumn id="1" xr3:uid="{FEA01703-069B-48AA-A275-7865583E8551}" name="Producer" dataDxfId="5"/>
    <tableColumn id="2" xr3:uid="{125BC931-F248-4528-8863-9EB2C6FEAE32}" name="Book Revenue" dataDxfId="4"/>
    <tableColumn id="3" xr3:uid="{D4F14052-11E0-4FE8-8004-695535592124}" name="% of Agency" dataDxfId="3"/>
    <tableColumn id="4" xr3:uid="{929CCD66-F39E-46A3-80BC-4C2F311B9998}" name="Comp Structure" dataDxfId="2"/>
    <tableColumn id="5" xr3:uid="{385B6668-728E-469F-BBD3-4375C043EAC1}" name="Total Comp" dataDxfId="1"/>
    <tableColumn id="6" xr3:uid="{9A578CBF-8A73-4129-ADBF-9583DBAE86A0}" name="Comp as % of Book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B258-F628-4DF3-9C03-9303FF7DEAF0}">
  <dimension ref="A1:O29"/>
  <sheetViews>
    <sheetView tabSelected="1" zoomScale="50" zoomScaleNormal="50" workbookViewId="0">
      <selection activeCell="O3" sqref="O3"/>
    </sheetView>
  </sheetViews>
  <sheetFormatPr defaultRowHeight="13.2"/>
  <cols>
    <col min="1" max="1" width="37.33203125" customWidth="1"/>
    <col min="2" max="2" width="23.77734375" customWidth="1"/>
    <col min="3" max="4" width="24" customWidth="1"/>
    <col min="5" max="12" width="24" style="102" customWidth="1"/>
    <col min="13" max="13" width="20.88671875" style="129" customWidth="1"/>
    <col min="14" max="14" width="21.109375" style="129" customWidth="1"/>
    <col min="15" max="15" width="18.6640625" style="129" customWidth="1"/>
  </cols>
  <sheetData>
    <row r="1" spans="1:15" ht="42.6" customHeight="1">
      <c r="A1" s="132" t="s">
        <v>0</v>
      </c>
      <c r="B1" s="132"/>
      <c r="C1" s="132"/>
      <c r="D1" s="132"/>
      <c r="E1" s="133" t="s">
        <v>185</v>
      </c>
      <c r="F1" s="134"/>
      <c r="G1" s="134"/>
      <c r="H1" s="135" t="s">
        <v>190</v>
      </c>
      <c r="I1" s="136"/>
      <c r="J1" s="136"/>
      <c r="K1" s="137" t="s">
        <v>191</v>
      </c>
      <c r="L1" s="137"/>
      <c r="M1" s="138" t="s">
        <v>195</v>
      </c>
      <c r="N1" s="138"/>
      <c r="O1" s="138"/>
    </row>
    <row r="2" spans="1:15" ht="17.55" customHeight="1">
      <c r="A2" s="103" t="s">
        <v>151</v>
      </c>
      <c r="B2" s="104" t="s">
        <v>1</v>
      </c>
      <c r="C2" s="104" t="s">
        <v>2</v>
      </c>
      <c r="D2" s="104" t="s">
        <v>3</v>
      </c>
      <c r="E2" s="105" t="s">
        <v>157</v>
      </c>
      <c r="F2" s="105" t="s">
        <v>158</v>
      </c>
      <c r="G2" s="105" t="s">
        <v>159</v>
      </c>
      <c r="H2" s="105" t="s">
        <v>157</v>
      </c>
      <c r="I2" s="105" t="s">
        <v>158</v>
      </c>
      <c r="J2" s="105" t="s">
        <v>159</v>
      </c>
      <c r="K2" s="105" t="s">
        <v>160</v>
      </c>
      <c r="L2" s="105" t="s">
        <v>161</v>
      </c>
      <c r="M2" s="130" t="s">
        <v>192</v>
      </c>
      <c r="N2" s="130" t="s">
        <v>193</v>
      </c>
      <c r="O2" s="130" t="s">
        <v>194</v>
      </c>
    </row>
    <row r="3" spans="1:15" ht="16.5" customHeight="1">
      <c r="A3" s="112" t="s">
        <v>162</v>
      </c>
      <c r="B3" s="106">
        <v>5840</v>
      </c>
      <c r="C3" s="106">
        <v>6420</v>
      </c>
      <c r="D3" s="106">
        <v>7180</v>
      </c>
      <c r="E3" s="109">
        <f>+'IncomeStatement check'!$B3/$B$8</f>
        <v>0.83488205861329523</v>
      </c>
      <c r="F3" s="109">
        <f>+'IncomeStatement check'!$C3/$C$8</f>
        <v>0.82149712092130522</v>
      </c>
      <c r="G3" s="109">
        <f>+'IncomeStatement check'!$D3/$D$8</f>
        <v>0.74674986999479975</v>
      </c>
      <c r="H3" s="109">
        <f t="shared" ref="H3:H29" si="0">+B3/$B$8</f>
        <v>0.83488205861329523</v>
      </c>
      <c r="I3" s="109">
        <f>+C3/$C$8</f>
        <v>0.82149712092130522</v>
      </c>
      <c r="J3" s="109">
        <f t="shared" ref="J3:J29" si="1">+D3/$D$8</f>
        <v>0.74674986999479975</v>
      </c>
      <c r="K3" s="109">
        <f>(C3-B3)/ABS(B3)</f>
        <v>9.9315068493150679E-2</v>
      </c>
      <c r="L3" s="109">
        <f>(D3-C3)/ABS(C3)</f>
        <v>0.11838006230529595</v>
      </c>
      <c r="M3" s="131" t="str">
        <f>+IF(ABS(K3)&lt;10%,"Low",IF(ABS(K3)&lt;20%,"Medium",IF(ABS(K3)&lt;30%,"High","Extraordinary")))</f>
        <v>Low</v>
      </c>
      <c r="N3" s="131" t="str">
        <f>+IF(ABS(L3)&lt;10%,"Low",IF(ABS(L3)&lt;20%,"Medium",IF(ABS(L3)&lt;30%,"High","Extraordinary")))</f>
        <v>Medium</v>
      </c>
      <c r="O3" s="129" t="str">
        <f>IF(MAX(H3:J3)&gt;=10%,"Large",IF(MAX(H3:J3)&gt;=5%,"Medium","Small"))</f>
        <v>Large</v>
      </c>
    </row>
    <row r="4" spans="1:15" s="101" customFormat="1" ht="14.7" customHeight="1">
      <c r="A4" s="113" t="s">
        <v>163</v>
      </c>
      <c r="B4" s="108">
        <v>680</v>
      </c>
      <c r="C4" s="108">
        <v>740</v>
      </c>
      <c r="D4" s="108">
        <v>1240</v>
      </c>
      <c r="E4" s="111">
        <f>+'IncomeStatement check'!$B4/$B$8</f>
        <v>9.7212294496068621E-2</v>
      </c>
      <c r="F4" s="111">
        <f>+'IncomeStatement check'!$C4/$C$8</f>
        <v>9.4689699296225213E-2</v>
      </c>
      <c r="G4" s="111">
        <f>+'IncomeStatement check'!$D4/$D$8</f>
        <v>0.12896515860634425</v>
      </c>
      <c r="H4" s="111">
        <f t="shared" si="0"/>
        <v>9.7212294496068621E-2</v>
      </c>
      <c r="I4" s="111">
        <f t="shared" ref="I3:I29" si="2">+C4/$C$8</f>
        <v>9.4689699296225213E-2</v>
      </c>
      <c r="J4" s="111">
        <f t="shared" si="1"/>
        <v>0.12896515860634425</v>
      </c>
      <c r="K4" s="111">
        <f t="shared" ref="K4:K29" si="3">(C4-B4)/ABS(B4)</f>
        <v>8.8235294117647065E-2</v>
      </c>
      <c r="L4" s="111">
        <f t="shared" ref="L4:L29" si="4">(D4-C4)/ABS(C4)</f>
        <v>0.67567567567567566</v>
      </c>
      <c r="M4" s="131" t="str">
        <f t="shared" ref="M4:M29" si="5">+IF(ABS(K4)&lt;10%,"Low",IF(ABS(K4)&lt;20%,"Medium",IF(ABS(K4)&lt;30%,"High","Extraordinary")))</f>
        <v>Low</v>
      </c>
      <c r="N4" s="131" t="str">
        <f t="shared" ref="N4:N29" si="6">+IF(ABS(L4)&lt;10%,"Low",IF(ABS(L4)&lt;20%,"Medium",IF(ABS(L4)&lt;30%,"High","Extraordinary")))</f>
        <v>Extraordinary</v>
      </c>
      <c r="O4" s="129" t="str">
        <f t="shared" ref="O4:O29" si="7">IF(MAX(H4:J4)&gt;=10%,"Large",IF(MAX(H4:J4)&gt;=5%,"Medium","Small"))</f>
        <v>Large</v>
      </c>
    </row>
    <row r="5" spans="1:15" ht="18" customHeight="1">
      <c r="A5" s="112" t="s">
        <v>164</v>
      </c>
      <c r="B5" s="107">
        <v>310</v>
      </c>
      <c r="C5" s="107">
        <v>340</v>
      </c>
      <c r="D5" s="107">
        <v>385</v>
      </c>
      <c r="E5" s="110">
        <f>+'IncomeStatement check'!$B5/$B$8</f>
        <v>4.431736954967834E-2</v>
      </c>
      <c r="F5" s="110">
        <f>+'IncomeStatement check'!$C5/$C$8</f>
        <v>4.3506078055022393E-2</v>
      </c>
      <c r="G5" s="110">
        <f>+'IncomeStatement check'!$D5/$D$8</f>
        <v>4.0041601664066562E-2</v>
      </c>
      <c r="H5" s="110">
        <f t="shared" si="0"/>
        <v>4.431736954967834E-2</v>
      </c>
      <c r="I5" s="110">
        <f t="shared" si="2"/>
        <v>4.3506078055022393E-2</v>
      </c>
      <c r="J5" s="110">
        <f t="shared" si="1"/>
        <v>4.0041601664066562E-2</v>
      </c>
      <c r="K5" s="110">
        <f t="shared" si="3"/>
        <v>9.6774193548387094E-2</v>
      </c>
      <c r="L5" s="110">
        <f t="shared" si="4"/>
        <v>0.13235294117647059</v>
      </c>
      <c r="M5" s="131" t="str">
        <f t="shared" si="5"/>
        <v>Low</v>
      </c>
      <c r="N5" s="131" t="str">
        <f t="shared" si="6"/>
        <v>Medium</v>
      </c>
      <c r="O5" s="129" t="str">
        <f t="shared" si="7"/>
        <v>Small</v>
      </c>
    </row>
    <row r="6" spans="1:15" s="101" customFormat="1" ht="14.7" customHeight="1">
      <c r="A6" s="113" t="s">
        <v>165</v>
      </c>
      <c r="B6" s="108">
        <v>120</v>
      </c>
      <c r="C6" s="108">
        <v>280</v>
      </c>
      <c r="D6" s="108">
        <v>520</v>
      </c>
      <c r="E6" s="111">
        <f>+'IncomeStatement check'!$B6/$B$8</f>
        <v>1.7155110793423873E-2</v>
      </c>
      <c r="F6" s="111">
        <f>+'IncomeStatement check'!$C6/$C$8</f>
        <v>3.5828534868841973E-2</v>
      </c>
      <c r="G6" s="111">
        <f>+'IncomeStatement check'!$D6/$D$8</f>
        <v>5.4082163286531461E-2</v>
      </c>
      <c r="H6" s="111">
        <f t="shared" si="0"/>
        <v>1.7155110793423873E-2</v>
      </c>
      <c r="I6" s="111">
        <f t="shared" si="2"/>
        <v>3.5828534868841973E-2</v>
      </c>
      <c r="J6" s="111">
        <f t="shared" si="1"/>
        <v>5.4082163286531461E-2</v>
      </c>
      <c r="K6" s="111">
        <f t="shared" si="3"/>
        <v>1.3333333333333333</v>
      </c>
      <c r="L6" s="111">
        <f t="shared" si="4"/>
        <v>0.8571428571428571</v>
      </c>
      <c r="M6" s="131" t="str">
        <f t="shared" si="5"/>
        <v>Extraordinary</v>
      </c>
      <c r="N6" s="131" t="str">
        <f t="shared" si="6"/>
        <v>Extraordinary</v>
      </c>
      <c r="O6" s="129" t="str">
        <f t="shared" si="7"/>
        <v>Medium</v>
      </c>
    </row>
    <row r="7" spans="1:15" s="101" customFormat="1" ht="18" customHeight="1">
      <c r="A7" s="112" t="s">
        <v>166</v>
      </c>
      <c r="B7" s="107">
        <v>45</v>
      </c>
      <c r="C7" s="107">
        <v>35</v>
      </c>
      <c r="D7" s="107">
        <v>290</v>
      </c>
      <c r="E7" s="110">
        <f>+'IncomeStatement check'!$B7/$B$8</f>
        <v>6.4331665475339528E-3</v>
      </c>
      <c r="F7" s="110">
        <f>+'IncomeStatement check'!$C7/$C$8</f>
        <v>4.4785668586052466E-3</v>
      </c>
      <c r="G7" s="110">
        <f>+'IncomeStatement check'!$D7/$D$8</f>
        <v>3.016120644825793E-2</v>
      </c>
      <c r="H7" s="110">
        <f t="shared" si="0"/>
        <v>6.4331665475339528E-3</v>
      </c>
      <c r="I7" s="110">
        <f t="shared" si="2"/>
        <v>4.4785668586052466E-3</v>
      </c>
      <c r="J7" s="110">
        <f t="shared" si="1"/>
        <v>3.016120644825793E-2</v>
      </c>
      <c r="K7" s="110">
        <f t="shared" si="3"/>
        <v>-0.22222222222222221</v>
      </c>
      <c r="L7" s="110">
        <f t="shared" si="4"/>
        <v>7.2857142857142856</v>
      </c>
      <c r="M7" s="131" t="str">
        <f t="shared" si="5"/>
        <v>High</v>
      </c>
      <c r="N7" s="131" t="str">
        <f t="shared" si="6"/>
        <v>Extraordinary</v>
      </c>
      <c r="O7" s="129" t="str">
        <f t="shared" si="7"/>
        <v>Small</v>
      </c>
    </row>
    <row r="8" spans="1:15" s="119" customFormat="1" ht="14.7" customHeight="1">
      <c r="A8" s="120" t="s">
        <v>186</v>
      </c>
      <c r="B8" s="121">
        <v>6995</v>
      </c>
      <c r="C8" s="121">
        <v>7815</v>
      </c>
      <c r="D8" s="121">
        <v>9615</v>
      </c>
      <c r="E8" s="122">
        <f>+'IncomeStatement check'!$B8/$B$8</f>
        <v>1</v>
      </c>
      <c r="F8" s="122">
        <f>+'IncomeStatement check'!$C8/$C$8</f>
        <v>1</v>
      </c>
      <c r="G8" s="122">
        <f>+'IncomeStatement check'!$D8/$D$8</f>
        <v>1</v>
      </c>
      <c r="H8" s="122">
        <f t="shared" si="0"/>
        <v>1</v>
      </c>
      <c r="I8" s="122">
        <f t="shared" si="2"/>
        <v>1</v>
      </c>
      <c r="J8" s="122">
        <f t="shared" si="1"/>
        <v>1</v>
      </c>
      <c r="K8" s="122">
        <f t="shared" si="3"/>
        <v>0.11722659042172981</v>
      </c>
      <c r="L8" s="122">
        <f t="shared" si="4"/>
        <v>0.23032629558541268</v>
      </c>
      <c r="M8" s="131" t="str">
        <f t="shared" si="5"/>
        <v>Medium</v>
      </c>
      <c r="N8" s="131" t="str">
        <f t="shared" si="6"/>
        <v>High</v>
      </c>
      <c r="O8" s="129" t="str">
        <f t="shared" si="7"/>
        <v>Large</v>
      </c>
    </row>
    <row r="9" spans="1:15" ht="16.5" customHeight="1">
      <c r="A9" s="112" t="s">
        <v>167</v>
      </c>
      <c r="B9" s="106">
        <v>1960</v>
      </c>
      <c r="C9" s="106">
        <v>2180</v>
      </c>
      <c r="D9" s="106">
        <v>2620</v>
      </c>
      <c r="E9" s="109">
        <f>+'IncomeStatement check'!$B9/$B$23</f>
        <v>0.43410852713178294</v>
      </c>
      <c r="F9" s="109">
        <f>+'IncomeStatement check'!$C9/$C$23</f>
        <v>0.43151227236737927</v>
      </c>
      <c r="G9" s="109">
        <f>+'IncomeStatement check'!$D9/$D$23</f>
        <v>0.4099514942888437</v>
      </c>
      <c r="H9" s="109">
        <f t="shared" si="0"/>
        <v>0.2802001429592566</v>
      </c>
      <c r="I9" s="109">
        <f t="shared" si="2"/>
        <v>0.27895073576455537</v>
      </c>
      <c r="J9" s="109">
        <f t="shared" si="1"/>
        <v>0.27249089963598544</v>
      </c>
      <c r="K9" s="109">
        <f t="shared" si="3"/>
        <v>0.11224489795918367</v>
      </c>
      <c r="L9" s="109">
        <f t="shared" si="4"/>
        <v>0.20183486238532111</v>
      </c>
      <c r="M9" s="131" t="str">
        <f t="shared" si="5"/>
        <v>Medium</v>
      </c>
      <c r="N9" s="131" t="str">
        <f t="shared" si="6"/>
        <v>High</v>
      </c>
      <c r="O9" s="129" t="str">
        <f t="shared" si="7"/>
        <v>Large</v>
      </c>
    </row>
    <row r="10" spans="1:15" ht="14.7" customHeight="1">
      <c r="A10" s="113" t="s">
        <v>168</v>
      </c>
      <c r="B10" s="108">
        <v>680</v>
      </c>
      <c r="C10" s="108">
        <v>740</v>
      </c>
      <c r="D10" s="108">
        <v>810</v>
      </c>
      <c r="E10" s="111">
        <f>+'IncomeStatement check'!$B10/$B$23</f>
        <v>0.15060908084163899</v>
      </c>
      <c r="F10" s="111">
        <f>+'IncomeStatement check'!$C10/$C$23</f>
        <v>0.14647664291369755</v>
      </c>
      <c r="G10" s="111">
        <f>+'IncomeStatement check'!$D10/$D$23</f>
        <v>0.12674072915036771</v>
      </c>
      <c r="H10" s="111">
        <f t="shared" si="0"/>
        <v>9.7212294496068621E-2</v>
      </c>
      <c r="I10" s="111">
        <f t="shared" si="2"/>
        <v>9.4689699296225213E-2</v>
      </c>
      <c r="J10" s="111">
        <f t="shared" si="1"/>
        <v>8.4243369734789394E-2</v>
      </c>
      <c r="K10" s="111">
        <f t="shared" si="3"/>
        <v>8.8235294117647065E-2</v>
      </c>
      <c r="L10" s="111">
        <f t="shared" si="4"/>
        <v>9.45945945945946E-2</v>
      </c>
      <c r="M10" s="131" t="str">
        <f t="shared" si="5"/>
        <v>Low</v>
      </c>
      <c r="N10" s="131" t="str">
        <f t="shared" si="6"/>
        <v>Low</v>
      </c>
      <c r="O10" s="129" t="str">
        <f t="shared" si="7"/>
        <v>Medium</v>
      </c>
    </row>
    <row r="11" spans="1:15" ht="18" customHeight="1">
      <c r="A11" s="112" t="s">
        <v>169</v>
      </c>
      <c r="B11" s="107">
        <v>320</v>
      </c>
      <c r="C11" s="107">
        <v>345</v>
      </c>
      <c r="D11" s="107">
        <v>370</v>
      </c>
      <c r="E11" s="110">
        <f>+'IncomeStatement check'!$B11/$B$23</f>
        <v>7.0874861572535988E-2</v>
      </c>
      <c r="F11" s="110">
        <f>+'IncomeStatement check'!$C11/$C$23</f>
        <v>6.8289786223277915E-2</v>
      </c>
      <c r="G11" s="110">
        <f>+'IncomeStatement check'!$D11/$D$23</f>
        <v>5.7893913315600065E-2</v>
      </c>
      <c r="H11" s="110">
        <f t="shared" si="0"/>
        <v>4.5746962115796999E-2</v>
      </c>
      <c r="I11" s="110">
        <f t="shared" si="2"/>
        <v>4.4145873320537425E-2</v>
      </c>
      <c r="J11" s="110">
        <f t="shared" si="1"/>
        <v>3.8481539261570462E-2</v>
      </c>
      <c r="K11" s="110">
        <f t="shared" si="3"/>
        <v>7.8125E-2</v>
      </c>
      <c r="L11" s="110">
        <f t="shared" si="4"/>
        <v>7.2463768115942032E-2</v>
      </c>
      <c r="M11" s="131" t="str">
        <f t="shared" si="5"/>
        <v>Low</v>
      </c>
      <c r="N11" s="131" t="str">
        <f t="shared" si="6"/>
        <v>Low</v>
      </c>
      <c r="O11" s="129" t="str">
        <f t="shared" si="7"/>
        <v>Small</v>
      </c>
    </row>
    <row r="12" spans="1:15" ht="14.7" customHeight="1">
      <c r="A12" s="113" t="s">
        <v>170</v>
      </c>
      <c r="B12" s="108">
        <v>350</v>
      </c>
      <c r="C12" s="108">
        <v>390</v>
      </c>
      <c r="D12" s="108">
        <v>450</v>
      </c>
      <c r="E12" s="111">
        <f>+'IncomeStatement check'!$B12/$B$23</f>
        <v>7.7519379844961239E-2</v>
      </c>
      <c r="F12" s="111">
        <f>+'IncomeStatement check'!$C12/$C$23</f>
        <v>7.7197149643705457E-2</v>
      </c>
      <c r="G12" s="111">
        <f>+'IncomeStatement check'!$D12/$D$23</f>
        <v>7.0411516194648721E-2</v>
      </c>
      <c r="H12" s="111">
        <f t="shared" si="0"/>
        <v>5.0035739814152963E-2</v>
      </c>
      <c r="I12" s="111">
        <f t="shared" si="2"/>
        <v>4.9904030710172742E-2</v>
      </c>
      <c r="J12" s="111">
        <f t="shared" si="1"/>
        <v>4.6801872074882997E-2</v>
      </c>
      <c r="K12" s="111">
        <f t="shared" si="3"/>
        <v>0.11428571428571428</v>
      </c>
      <c r="L12" s="111">
        <f t="shared" si="4"/>
        <v>0.15384615384615385</v>
      </c>
      <c r="M12" s="131" t="str">
        <f t="shared" si="5"/>
        <v>Medium</v>
      </c>
      <c r="N12" s="131" t="str">
        <f t="shared" si="6"/>
        <v>Medium</v>
      </c>
      <c r="O12" s="129" t="str">
        <f t="shared" si="7"/>
        <v>Medium</v>
      </c>
    </row>
    <row r="13" spans="1:15" ht="18" customHeight="1">
      <c r="A13" s="112" t="s">
        <v>171</v>
      </c>
      <c r="B13" s="107">
        <v>510</v>
      </c>
      <c r="C13" s="107">
        <v>580</v>
      </c>
      <c r="D13" s="107">
        <v>655</v>
      </c>
      <c r="E13" s="110">
        <f>+'IncomeStatement check'!$B13/$B$23</f>
        <v>0.11295681063122924</v>
      </c>
      <c r="F13" s="110">
        <f>+'IncomeStatement check'!$C13/$C$23</f>
        <v>0.11480601741884403</v>
      </c>
      <c r="G13" s="110">
        <f>+'IncomeStatement check'!$D13/$D$23</f>
        <v>0.10248787357221092</v>
      </c>
      <c r="H13" s="110">
        <f t="shared" si="0"/>
        <v>7.290922087205147E-2</v>
      </c>
      <c r="I13" s="110">
        <f t="shared" si="2"/>
        <v>7.4216250799744088E-2</v>
      </c>
      <c r="J13" s="110">
        <f t="shared" si="1"/>
        <v>6.812272490899636E-2</v>
      </c>
      <c r="K13" s="110">
        <f t="shared" si="3"/>
        <v>0.13725490196078433</v>
      </c>
      <c r="L13" s="110">
        <f t="shared" si="4"/>
        <v>0.12931034482758622</v>
      </c>
      <c r="M13" s="131" t="str">
        <f t="shared" si="5"/>
        <v>Medium</v>
      </c>
      <c r="N13" s="131" t="str">
        <f t="shared" si="6"/>
        <v>Medium</v>
      </c>
      <c r="O13" s="129" t="str">
        <f t="shared" si="7"/>
        <v>Medium</v>
      </c>
    </row>
    <row r="14" spans="1:15" s="101" customFormat="1" ht="14.7" customHeight="1">
      <c r="A14" s="113" t="s">
        <v>172</v>
      </c>
      <c r="B14" s="108">
        <v>165</v>
      </c>
      <c r="C14" s="108">
        <v>168</v>
      </c>
      <c r="D14" s="108">
        <v>285</v>
      </c>
      <c r="E14" s="111">
        <f>+'IncomeStatement check'!$B14/$B$23</f>
        <v>3.6544850498338874E-2</v>
      </c>
      <c r="F14" s="111">
        <f>+'IncomeStatement check'!$C14/$C$23</f>
        <v>3.3254156769596199E-2</v>
      </c>
      <c r="G14" s="111">
        <f>+'IncomeStatement check'!$D14/$D$23</f>
        <v>4.4593960256610859E-2</v>
      </c>
      <c r="H14" s="111">
        <f t="shared" si="0"/>
        <v>2.3588277340957826E-2</v>
      </c>
      <c r="I14" s="111">
        <f t="shared" si="2"/>
        <v>2.1497120921305183E-2</v>
      </c>
      <c r="J14" s="111">
        <f t="shared" si="1"/>
        <v>2.9641185647425898E-2</v>
      </c>
      <c r="K14" s="111">
        <f t="shared" si="3"/>
        <v>1.8181818181818181E-2</v>
      </c>
      <c r="L14" s="111">
        <f t="shared" si="4"/>
        <v>0.6964285714285714</v>
      </c>
      <c r="M14" s="131" t="str">
        <f t="shared" si="5"/>
        <v>Low</v>
      </c>
      <c r="N14" s="131" t="str">
        <f t="shared" si="6"/>
        <v>Extraordinary</v>
      </c>
      <c r="O14" s="129" t="str">
        <f t="shared" si="7"/>
        <v>Small</v>
      </c>
    </row>
    <row r="15" spans="1:15" ht="18" customHeight="1">
      <c r="A15" s="112" t="s">
        <v>173</v>
      </c>
      <c r="B15" s="107">
        <v>95</v>
      </c>
      <c r="C15" s="107">
        <v>140</v>
      </c>
      <c r="D15" s="107">
        <v>185</v>
      </c>
      <c r="E15" s="110">
        <f>+'IncomeStatement check'!$B15/$B$23</f>
        <v>2.1040974529346623E-2</v>
      </c>
      <c r="F15" s="110">
        <f>+'IncomeStatement check'!$C15/$C$23</f>
        <v>2.7711797307996833E-2</v>
      </c>
      <c r="G15" s="110">
        <f>+'IncomeStatement check'!$D15/$D$23</f>
        <v>2.8946956657800033E-2</v>
      </c>
      <c r="H15" s="110">
        <f t="shared" si="0"/>
        <v>1.3581129378127233E-2</v>
      </c>
      <c r="I15" s="110">
        <f t="shared" si="2"/>
        <v>1.7914267434420986E-2</v>
      </c>
      <c r="J15" s="110">
        <f t="shared" si="1"/>
        <v>1.9240769630785231E-2</v>
      </c>
      <c r="K15" s="110">
        <f t="shared" si="3"/>
        <v>0.47368421052631576</v>
      </c>
      <c r="L15" s="110">
        <f t="shared" si="4"/>
        <v>0.32142857142857145</v>
      </c>
      <c r="M15" s="131" t="str">
        <f t="shared" si="5"/>
        <v>Extraordinary</v>
      </c>
      <c r="N15" s="131" t="str">
        <f t="shared" si="6"/>
        <v>Extraordinary</v>
      </c>
      <c r="O15" s="129" t="str">
        <f t="shared" si="7"/>
        <v>Small</v>
      </c>
    </row>
    <row r="16" spans="1:15" ht="14.7" customHeight="1">
      <c r="A16" s="113" t="s">
        <v>174</v>
      </c>
      <c r="B16" s="108">
        <v>85</v>
      </c>
      <c r="C16" s="108">
        <v>92</v>
      </c>
      <c r="D16" s="108">
        <v>98</v>
      </c>
      <c r="E16" s="111">
        <f>+'IncomeStatement check'!$B16/$B$23</f>
        <v>1.8826135105204873E-2</v>
      </c>
      <c r="F16" s="111">
        <f>+'IncomeStatement check'!$C16/$C$23</f>
        <v>1.8210609659540775E-2</v>
      </c>
      <c r="G16" s="111">
        <f>+'IncomeStatement check'!$D16/$D$23</f>
        <v>1.5334063526834611E-2</v>
      </c>
      <c r="H16" s="111">
        <f t="shared" si="0"/>
        <v>1.2151536812008578E-2</v>
      </c>
      <c r="I16" s="111">
        <f t="shared" si="2"/>
        <v>1.1772232885476647E-2</v>
      </c>
      <c r="J16" s="111">
        <f t="shared" si="1"/>
        <v>1.0192407696307852E-2</v>
      </c>
      <c r="K16" s="111">
        <f t="shared" si="3"/>
        <v>8.2352941176470587E-2</v>
      </c>
      <c r="L16" s="111">
        <f t="shared" si="4"/>
        <v>6.5217391304347824E-2</v>
      </c>
      <c r="M16" s="131" t="str">
        <f t="shared" si="5"/>
        <v>Low</v>
      </c>
      <c r="N16" s="131" t="str">
        <f t="shared" si="6"/>
        <v>Low</v>
      </c>
      <c r="O16" s="129" t="str">
        <f t="shared" si="7"/>
        <v>Small</v>
      </c>
    </row>
    <row r="17" spans="1:15" s="101" customFormat="1" ht="18" customHeight="1">
      <c r="A17" s="112" t="s">
        <v>175</v>
      </c>
      <c r="B17" s="107">
        <v>110</v>
      </c>
      <c r="C17" s="107">
        <v>135</v>
      </c>
      <c r="D17" s="107">
        <v>280</v>
      </c>
      <c r="E17" s="110">
        <f>+'IncomeStatement check'!$B17/$B$23</f>
        <v>2.4363233665559248E-2</v>
      </c>
      <c r="F17" s="110">
        <f>+'IncomeStatement check'!$C17/$C$23</f>
        <v>2.6722090261282659E-2</v>
      </c>
      <c r="G17" s="110">
        <f>+'IncomeStatement check'!$D17/$D$23</f>
        <v>4.3811610076670317E-2</v>
      </c>
      <c r="H17" s="110">
        <f t="shared" si="0"/>
        <v>1.5725518227305217E-2</v>
      </c>
      <c r="I17" s="110">
        <f t="shared" si="2"/>
        <v>1.7274472168905951E-2</v>
      </c>
      <c r="J17" s="110">
        <f t="shared" si="1"/>
        <v>2.9121164846593862E-2</v>
      </c>
      <c r="K17" s="110">
        <f t="shared" si="3"/>
        <v>0.22727272727272727</v>
      </c>
      <c r="L17" s="110">
        <f t="shared" si="4"/>
        <v>1.0740740740740742</v>
      </c>
      <c r="M17" s="131" t="str">
        <f t="shared" si="5"/>
        <v>High</v>
      </c>
      <c r="N17" s="131" t="str">
        <f t="shared" si="6"/>
        <v>Extraordinary</v>
      </c>
      <c r="O17" s="129" t="str">
        <f t="shared" si="7"/>
        <v>Small</v>
      </c>
    </row>
    <row r="18" spans="1:15" s="101" customFormat="1" ht="14.7" customHeight="1">
      <c r="A18" s="113" t="s">
        <v>176</v>
      </c>
      <c r="B18" s="108">
        <v>75</v>
      </c>
      <c r="C18" s="108">
        <v>88</v>
      </c>
      <c r="D18" s="108">
        <v>195</v>
      </c>
      <c r="E18" s="111">
        <f>+'IncomeStatement check'!$B18/$B$23</f>
        <v>1.6611295681063124E-2</v>
      </c>
      <c r="F18" s="111">
        <f>+'IncomeStatement check'!$C18/$C$23</f>
        <v>1.7418844022169439E-2</v>
      </c>
      <c r="G18" s="111">
        <f>+'IncomeStatement check'!$D18/$D$23</f>
        <v>3.0511657017681115E-2</v>
      </c>
      <c r="H18" s="111">
        <f t="shared" si="0"/>
        <v>1.0721944245889922E-2</v>
      </c>
      <c r="I18" s="111">
        <f t="shared" si="2"/>
        <v>1.1260396673064619E-2</v>
      </c>
      <c r="J18" s="111">
        <f t="shared" si="1"/>
        <v>2.0280811232449299E-2</v>
      </c>
      <c r="K18" s="111">
        <f t="shared" si="3"/>
        <v>0.17333333333333334</v>
      </c>
      <c r="L18" s="111">
        <f t="shared" si="4"/>
        <v>1.2159090909090908</v>
      </c>
      <c r="M18" s="131" t="str">
        <f t="shared" si="5"/>
        <v>Medium</v>
      </c>
      <c r="N18" s="131" t="str">
        <f t="shared" si="6"/>
        <v>Extraordinary</v>
      </c>
      <c r="O18" s="129" t="str">
        <f t="shared" si="7"/>
        <v>Small</v>
      </c>
    </row>
    <row r="19" spans="1:15" s="101" customFormat="1" ht="18" customHeight="1">
      <c r="A19" s="115" t="s">
        <v>177</v>
      </c>
      <c r="B19" s="107">
        <v>60</v>
      </c>
      <c r="C19" s="107">
        <v>72</v>
      </c>
      <c r="D19" s="107">
        <v>165</v>
      </c>
      <c r="E19" s="110">
        <f>+'IncomeStatement check'!$B19/$B$23</f>
        <v>1.3289036544850499E-2</v>
      </c>
      <c r="F19" s="110">
        <f>+'IncomeStatement check'!$C19/$C$23</f>
        <v>1.4251781472684086E-2</v>
      </c>
      <c r="G19" s="110">
        <f>+'IncomeStatement check'!$D19/$D$23</f>
        <v>2.5817555938037865E-2</v>
      </c>
      <c r="H19" s="110">
        <f t="shared" si="0"/>
        <v>8.5775553967119365E-3</v>
      </c>
      <c r="I19" s="110">
        <f t="shared" si="2"/>
        <v>9.2130518234165067E-3</v>
      </c>
      <c r="J19" s="110">
        <f t="shared" si="1"/>
        <v>1.7160686427457099E-2</v>
      </c>
      <c r="K19" s="110">
        <f t="shared" si="3"/>
        <v>0.2</v>
      </c>
      <c r="L19" s="110">
        <f t="shared" si="4"/>
        <v>1.2916666666666667</v>
      </c>
      <c r="M19" s="131" t="str">
        <f t="shared" si="5"/>
        <v>High</v>
      </c>
      <c r="N19" s="131" t="str">
        <f t="shared" si="6"/>
        <v>Extraordinary</v>
      </c>
      <c r="O19" s="129" t="str">
        <f t="shared" si="7"/>
        <v>Small</v>
      </c>
    </row>
    <row r="20" spans="1:15" ht="16.5" customHeight="1">
      <c r="A20" s="113" t="s">
        <v>178</v>
      </c>
      <c r="B20" s="108">
        <v>32</v>
      </c>
      <c r="C20" s="108">
        <v>35</v>
      </c>
      <c r="D20" s="108">
        <v>38</v>
      </c>
      <c r="E20" s="111">
        <f>+'IncomeStatement check'!$B20/$B$23</f>
        <v>7.0874861572535995E-3</v>
      </c>
      <c r="F20" s="111">
        <f>+'IncomeStatement check'!$C20/$C$23</f>
        <v>6.9279493269992082E-3</v>
      </c>
      <c r="G20" s="111">
        <f>+'IncomeStatement check'!$D20/$D$23</f>
        <v>5.9458613675481145E-3</v>
      </c>
      <c r="H20" s="111">
        <f t="shared" si="0"/>
        <v>4.5746962115796996E-3</v>
      </c>
      <c r="I20" s="111">
        <f t="shared" si="2"/>
        <v>4.4785668586052466E-3</v>
      </c>
      <c r="J20" s="111">
        <f t="shared" si="1"/>
        <v>3.9521580863234526E-3</v>
      </c>
      <c r="K20" s="111">
        <f t="shared" si="3"/>
        <v>9.375E-2</v>
      </c>
      <c r="L20" s="111">
        <f t="shared" si="4"/>
        <v>8.5714285714285715E-2</v>
      </c>
      <c r="M20" s="131" t="str">
        <f t="shared" si="5"/>
        <v>Low</v>
      </c>
      <c r="N20" s="131" t="str">
        <f t="shared" si="6"/>
        <v>Low</v>
      </c>
      <c r="O20" s="129" t="str">
        <f t="shared" si="7"/>
        <v>Small</v>
      </c>
    </row>
    <row r="21" spans="1:15" s="101" customFormat="1" ht="16.2" customHeight="1">
      <c r="A21" s="112" t="s">
        <v>179</v>
      </c>
      <c r="B21" s="106">
        <v>45</v>
      </c>
      <c r="C21" s="106">
        <v>52</v>
      </c>
      <c r="D21" s="106">
        <v>130</v>
      </c>
      <c r="E21" s="109">
        <f>+'IncomeStatement check'!$B21/$B$23</f>
        <v>9.9667774086378731E-3</v>
      </c>
      <c r="F21" s="109">
        <f>+'IncomeStatement check'!$C21/$C$23</f>
        <v>1.0292953285827395E-2</v>
      </c>
      <c r="G21" s="109">
        <f>+'IncomeStatement check'!$D21/$D$23</f>
        <v>2.0341104678454076E-2</v>
      </c>
      <c r="H21" s="109">
        <f t="shared" si="0"/>
        <v>6.4331665475339528E-3</v>
      </c>
      <c r="I21" s="109">
        <f t="shared" si="2"/>
        <v>6.6538707613563661E-3</v>
      </c>
      <c r="J21" s="109">
        <f t="shared" si="1"/>
        <v>1.3520540821632865E-2</v>
      </c>
      <c r="K21" s="109">
        <f t="shared" si="3"/>
        <v>0.15555555555555556</v>
      </c>
      <c r="L21" s="109">
        <f t="shared" si="4"/>
        <v>1.5</v>
      </c>
      <c r="M21" s="131" t="str">
        <f t="shared" si="5"/>
        <v>Medium</v>
      </c>
      <c r="N21" s="131" t="str">
        <f t="shared" si="6"/>
        <v>Extraordinary</v>
      </c>
      <c r="O21" s="129" t="str">
        <f t="shared" si="7"/>
        <v>Small</v>
      </c>
    </row>
    <row r="22" spans="1:15" s="101" customFormat="1" ht="16.5" customHeight="1">
      <c r="A22" s="113" t="s">
        <v>180</v>
      </c>
      <c r="B22" s="108">
        <v>28</v>
      </c>
      <c r="C22" s="108">
        <v>35</v>
      </c>
      <c r="D22" s="108">
        <v>110</v>
      </c>
      <c r="E22" s="111">
        <f>+'IncomeStatement check'!$B22/$B$23</f>
        <v>6.2015503875968991E-3</v>
      </c>
      <c r="F22" s="111">
        <f>+'IncomeStatement check'!$C22/$C$23</f>
        <v>6.9279493269992082E-3</v>
      </c>
      <c r="G22" s="111">
        <f>+'IncomeStatement check'!$D22/$D$23</f>
        <v>1.7211703958691909E-2</v>
      </c>
      <c r="H22" s="111">
        <f t="shared" si="0"/>
        <v>4.0028591851322369E-3</v>
      </c>
      <c r="I22" s="111">
        <f t="shared" si="2"/>
        <v>4.4785668586052466E-3</v>
      </c>
      <c r="J22" s="111">
        <f t="shared" si="1"/>
        <v>1.1440457618304731E-2</v>
      </c>
      <c r="K22" s="111">
        <f t="shared" si="3"/>
        <v>0.25</v>
      </c>
      <c r="L22" s="111">
        <f t="shared" si="4"/>
        <v>2.1428571428571428</v>
      </c>
      <c r="M22" s="131" t="str">
        <f t="shared" si="5"/>
        <v>High</v>
      </c>
      <c r="N22" s="131" t="str">
        <f t="shared" si="6"/>
        <v>Extraordinary</v>
      </c>
      <c r="O22" s="129" t="str">
        <f t="shared" si="7"/>
        <v>Small</v>
      </c>
    </row>
    <row r="23" spans="1:15" s="119" customFormat="1" ht="16.2" customHeight="1">
      <c r="A23" s="116" t="s">
        <v>184</v>
      </c>
      <c r="B23" s="117">
        <v>4515</v>
      </c>
      <c r="C23" s="117">
        <v>5052</v>
      </c>
      <c r="D23" s="117">
        <v>6391</v>
      </c>
      <c r="E23" s="118">
        <f>+'IncomeStatement check'!$B23/$B$23</f>
        <v>1</v>
      </c>
      <c r="F23" s="118">
        <f>+'IncomeStatement check'!$C23/$C$23</f>
        <v>1</v>
      </c>
      <c r="G23" s="118">
        <f>+'IncomeStatement check'!$D23/$D$23</f>
        <v>1</v>
      </c>
      <c r="H23" s="118">
        <f t="shared" si="0"/>
        <v>0.64546104360257328</v>
      </c>
      <c r="I23" s="118">
        <f t="shared" si="2"/>
        <v>0.64644913627639156</v>
      </c>
      <c r="J23" s="118">
        <f t="shared" si="1"/>
        <v>0.66469058762350497</v>
      </c>
      <c r="K23" s="118">
        <f t="shared" si="3"/>
        <v>0.11893687707641196</v>
      </c>
      <c r="L23" s="118">
        <f t="shared" si="4"/>
        <v>0.2650435471100554</v>
      </c>
      <c r="M23" s="131" t="str">
        <f t="shared" si="5"/>
        <v>Medium</v>
      </c>
      <c r="N23" s="131" t="str">
        <f t="shared" si="6"/>
        <v>High</v>
      </c>
      <c r="O23" s="129" t="str">
        <f t="shared" si="7"/>
        <v>Large</v>
      </c>
    </row>
    <row r="24" spans="1:15" s="119" customFormat="1" ht="16.5" customHeight="1">
      <c r="A24" s="127" t="s">
        <v>189</v>
      </c>
      <c r="B24" s="121">
        <v>2480</v>
      </c>
      <c r="C24" s="121">
        <v>2763</v>
      </c>
      <c r="D24" s="121">
        <v>3224</v>
      </c>
      <c r="E24" s="122"/>
      <c r="F24" s="122"/>
      <c r="G24" s="122"/>
      <c r="H24" s="122">
        <f t="shared" si="0"/>
        <v>0.35453895639742672</v>
      </c>
      <c r="I24" s="122">
        <f t="shared" si="2"/>
        <v>0.35355086372360844</v>
      </c>
      <c r="J24" s="122">
        <f t="shared" si="1"/>
        <v>0.33530941237649509</v>
      </c>
      <c r="K24" s="122">
        <f t="shared" si="3"/>
        <v>0.11411290322580646</v>
      </c>
      <c r="L24" s="122">
        <f t="shared" si="4"/>
        <v>0.16684762938834599</v>
      </c>
      <c r="M24" s="131" t="str">
        <f t="shared" si="5"/>
        <v>Medium</v>
      </c>
      <c r="N24" s="131" t="str">
        <f t="shared" si="6"/>
        <v>Medium</v>
      </c>
      <c r="O24" s="129" t="str">
        <f t="shared" si="7"/>
        <v>Large</v>
      </c>
    </row>
    <row r="25" spans="1:15" s="101" customFormat="1" ht="16.2" customHeight="1">
      <c r="A25" s="112" t="s">
        <v>181</v>
      </c>
      <c r="B25" s="106">
        <v>25</v>
      </c>
      <c r="C25" s="106">
        <v>22</v>
      </c>
      <c r="D25" s="106">
        <v>68</v>
      </c>
      <c r="E25" s="109"/>
      <c r="F25" s="109"/>
      <c r="G25" s="109"/>
      <c r="H25" s="109">
        <f t="shared" si="0"/>
        <v>3.5739814152966403E-3</v>
      </c>
      <c r="I25" s="109">
        <f t="shared" si="2"/>
        <v>2.8150991682661546E-3</v>
      </c>
      <c r="J25" s="109">
        <f t="shared" si="1"/>
        <v>7.0722828913156524E-3</v>
      </c>
      <c r="K25" s="109">
        <f t="shared" si="3"/>
        <v>-0.12</v>
      </c>
      <c r="L25" s="109">
        <f t="shared" si="4"/>
        <v>2.0909090909090908</v>
      </c>
      <c r="M25" s="131" t="str">
        <f t="shared" si="5"/>
        <v>Medium</v>
      </c>
      <c r="N25" s="131" t="str">
        <f t="shared" si="6"/>
        <v>Extraordinary</v>
      </c>
      <c r="O25" s="129" t="str">
        <f t="shared" si="7"/>
        <v>Small</v>
      </c>
    </row>
    <row r="26" spans="1:15" s="101" customFormat="1" ht="26.7" customHeight="1">
      <c r="A26" s="114" t="s">
        <v>182</v>
      </c>
      <c r="B26" s="108">
        <v>8</v>
      </c>
      <c r="C26" s="108">
        <v>-5</v>
      </c>
      <c r="D26" s="108">
        <v>15</v>
      </c>
      <c r="E26" s="111"/>
      <c r="F26" s="111"/>
      <c r="G26" s="111"/>
      <c r="H26" s="111">
        <f t="shared" si="0"/>
        <v>1.1436740528949249E-3</v>
      </c>
      <c r="I26" s="111">
        <f t="shared" si="2"/>
        <v>-6.3979526551503517E-4</v>
      </c>
      <c r="J26" s="111">
        <f t="shared" si="1"/>
        <v>1.5600624024960999E-3</v>
      </c>
      <c r="K26" s="111">
        <f t="shared" si="3"/>
        <v>-1.625</v>
      </c>
      <c r="L26" s="111">
        <f t="shared" si="4"/>
        <v>4</v>
      </c>
      <c r="M26" s="131" t="str">
        <f t="shared" si="5"/>
        <v>Extraordinary</v>
      </c>
      <c r="N26" s="131" t="str">
        <f t="shared" si="6"/>
        <v>Extraordinary</v>
      </c>
      <c r="O26" s="129" t="str">
        <f t="shared" si="7"/>
        <v>Small</v>
      </c>
    </row>
    <row r="27" spans="1:15" s="119" customFormat="1" ht="16.2" customHeight="1">
      <c r="A27" s="126" t="s">
        <v>188</v>
      </c>
      <c r="B27" s="117">
        <v>2463</v>
      </c>
      <c r="C27" s="117">
        <v>2736</v>
      </c>
      <c r="D27" s="117">
        <v>3171</v>
      </c>
      <c r="E27" s="118"/>
      <c r="F27" s="118"/>
      <c r="G27" s="118"/>
      <c r="H27" s="118">
        <f t="shared" si="0"/>
        <v>0.35210864903502503</v>
      </c>
      <c r="I27" s="118">
        <f t="shared" si="2"/>
        <v>0.35009596928982728</v>
      </c>
      <c r="J27" s="118">
        <f t="shared" si="1"/>
        <v>0.32979719188767553</v>
      </c>
      <c r="K27" s="118">
        <f t="shared" si="3"/>
        <v>0.11084043848964677</v>
      </c>
      <c r="L27" s="118">
        <f t="shared" si="4"/>
        <v>0.15899122807017543</v>
      </c>
      <c r="M27" s="131" t="str">
        <f t="shared" si="5"/>
        <v>Medium</v>
      </c>
      <c r="N27" s="131" t="str">
        <f t="shared" si="6"/>
        <v>Medium</v>
      </c>
      <c r="O27" s="129" t="str">
        <f t="shared" si="7"/>
        <v>Large</v>
      </c>
    </row>
    <row r="28" spans="1:15" ht="16.5" customHeight="1">
      <c r="A28" s="113" t="s">
        <v>183</v>
      </c>
      <c r="B28" s="108">
        <v>0</v>
      </c>
      <c r="C28" s="108">
        <v>0</v>
      </c>
      <c r="D28" s="108">
        <v>0</v>
      </c>
      <c r="E28" s="111"/>
      <c r="F28" s="111"/>
      <c r="G28" s="111"/>
      <c r="H28" s="111">
        <f t="shared" si="0"/>
        <v>0</v>
      </c>
      <c r="I28" s="111">
        <f t="shared" si="2"/>
        <v>0</v>
      </c>
      <c r="J28" s="111">
        <f t="shared" si="1"/>
        <v>0</v>
      </c>
      <c r="K28" s="111">
        <v>0</v>
      </c>
      <c r="L28" s="111">
        <v>0</v>
      </c>
      <c r="M28" s="131" t="str">
        <f t="shared" si="5"/>
        <v>Low</v>
      </c>
      <c r="N28" s="131" t="str">
        <f t="shared" si="6"/>
        <v>Low</v>
      </c>
      <c r="O28" s="129" t="str">
        <f t="shared" si="7"/>
        <v>Small</v>
      </c>
    </row>
    <row r="29" spans="1:15" s="119" customFormat="1" ht="16.2" customHeight="1">
      <c r="A29" s="123" t="s">
        <v>187</v>
      </c>
      <c r="B29" s="124">
        <v>2463</v>
      </c>
      <c r="C29" s="124">
        <v>2736</v>
      </c>
      <c r="D29" s="124">
        <v>3171</v>
      </c>
      <c r="E29" s="125"/>
      <c r="F29" s="125"/>
      <c r="G29" s="125"/>
      <c r="H29" s="125">
        <f t="shared" si="0"/>
        <v>0.35210864903502503</v>
      </c>
      <c r="I29" s="125">
        <f t="shared" si="2"/>
        <v>0.35009596928982728</v>
      </c>
      <c r="J29" s="125">
        <f t="shared" si="1"/>
        <v>0.32979719188767553</v>
      </c>
      <c r="K29" s="125">
        <f t="shared" si="3"/>
        <v>0.11084043848964677</v>
      </c>
      <c r="L29" s="125">
        <f t="shared" si="4"/>
        <v>0.15899122807017543</v>
      </c>
      <c r="M29" s="131" t="str">
        <f t="shared" si="5"/>
        <v>Medium</v>
      </c>
      <c r="N29" s="131" t="str">
        <f t="shared" si="6"/>
        <v>Medium</v>
      </c>
      <c r="O29" s="129" t="str">
        <f t="shared" si="7"/>
        <v>Large</v>
      </c>
    </row>
  </sheetData>
  <autoFilter ref="A2:O29" xr:uid="{6A1CB258-F628-4DF3-9C03-9303FF7DEAF0}"/>
  <mergeCells count="5">
    <mergeCell ref="A1:D1"/>
    <mergeCell ref="E1:G1"/>
    <mergeCell ref="H1:J1"/>
    <mergeCell ref="K1:L1"/>
    <mergeCell ref="M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F293-61E9-48F8-A8B9-E4B6FFD8B07C}">
  <dimension ref="A1:D34"/>
  <sheetViews>
    <sheetView topLeftCell="A13" workbookViewId="0">
      <selection activeCell="B31" sqref="B31"/>
    </sheetView>
  </sheetViews>
  <sheetFormatPr defaultRowHeight="13.2"/>
  <cols>
    <col min="1" max="1" width="32.88671875" customWidth="1"/>
    <col min="2" max="4" width="9" customWidth="1"/>
  </cols>
  <sheetData>
    <row r="1" spans="1:4" ht="38.4" customHeight="1">
      <c r="A1" s="132" t="s">
        <v>32</v>
      </c>
      <c r="B1" s="132"/>
      <c r="C1" s="132"/>
      <c r="D1" s="132"/>
    </row>
    <row r="2" spans="1:4">
      <c r="A2" s="41" t="s">
        <v>151</v>
      </c>
      <c r="B2" s="42" t="s">
        <v>1</v>
      </c>
      <c r="C2" s="42" t="s">
        <v>2</v>
      </c>
      <c r="D2" s="43" t="s">
        <v>3</v>
      </c>
    </row>
    <row r="3" spans="1:4">
      <c r="A3" s="27" t="s">
        <v>5</v>
      </c>
      <c r="B3" s="84"/>
      <c r="C3" s="84"/>
      <c r="D3" s="95"/>
    </row>
    <row r="4" spans="1:4">
      <c r="A4" s="28" t="s">
        <v>6</v>
      </c>
      <c r="B4" s="15">
        <v>520</v>
      </c>
      <c r="C4" s="15">
        <v>680</v>
      </c>
      <c r="D4" s="38">
        <v>490</v>
      </c>
    </row>
    <row r="5" spans="1:4">
      <c r="A5" s="29" t="s">
        <v>7</v>
      </c>
      <c r="B5" s="1">
        <v>840</v>
      </c>
      <c r="C5" s="1">
        <v>960</v>
      </c>
      <c r="D5" s="36">
        <v>1380</v>
      </c>
    </row>
    <row r="6" spans="1:4">
      <c r="A6" s="28" t="s">
        <v>8</v>
      </c>
      <c r="B6" s="2">
        <v>0</v>
      </c>
      <c r="C6" s="2">
        <v>0</v>
      </c>
      <c r="D6" s="35">
        <v>410</v>
      </c>
    </row>
    <row r="7" spans="1:4">
      <c r="A7" s="29" t="s">
        <v>9</v>
      </c>
      <c r="B7" s="1">
        <v>45</v>
      </c>
      <c r="C7" s="1">
        <v>52</v>
      </c>
      <c r="D7" s="36">
        <v>68</v>
      </c>
    </row>
    <row r="8" spans="1:4">
      <c r="A8" s="28" t="s">
        <v>10</v>
      </c>
      <c r="B8" s="2">
        <v>20</v>
      </c>
      <c r="C8" s="2">
        <v>15</v>
      </c>
      <c r="D8" s="35">
        <v>95</v>
      </c>
    </row>
    <row r="9" spans="1:4">
      <c r="A9" s="27" t="s">
        <v>11</v>
      </c>
      <c r="B9" s="1">
        <v>1425</v>
      </c>
      <c r="C9" s="1">
        <v>1707</v>
      </c>
      <c r="D9" s="36">
        <v>2443</v>
      </c>
    </row>
    <row r="10" spans="1:4">
      <c r="A10" s="30"/>
      <c r="B10" s="96"/>
      <c r="C10" s="96"/>
      <c r="D10" s="97"/>
    </row>
    <row r="11" spans="1:4">
      <c r="A11" s="29" t="s">
        <v>12</v>
      </c>
      <c r="B11" s="1">
        <v>120</v>
      </c>
      <c r="C11" s="1">
        <v>105</v>
      </c>
      <c r="D11" s="36">
        <v>92</v>
      </c>
    </row>
    <row r="12" spans="1:4">
      <c r="A12" s="28" t="s">
        <v>13</v>
      </c>
      <c r="B12" s="2">
        <v>35</v>
      </c>
      <c r="C12" s="2">
        <v>28</v>
      </c>
      <c r="D12" s="35">
        <v>185</v>
      </c>
    </row>
    <row r="13" spans="1:4">
      <c r="A13" s="27" t="s">
        <v>14</v>
      </c>
      <c r="B13" s="14">
        <v>0</v>
      </c>
      <c r="C13" s="14">
        <v>0</v>
      </c>
      <c r="D13" s="37">
        <v>840</v>
      </c>
    </row>
    <row r="14" spans="1:4">
      <c r="A14" s="28" t="s">
        <v>15</v>
      </c>
      <c r="B14" s="15">
        <v>0</v>
      </c>
      <c r="C14" s="15">
        <v>0</v>
      </c>
      <c r="D14" s="38">
        <v>320</v>
      </c>
    </row>
    <row r="15" spans="1:4">
      <c r="A15" s="29" t="s">
        <v>16</v>
      </c>
      <c r="B15" s="14">
        <v>30</v>
      </c>
      <c r="C15" s="14">
        <v>30</v>
      </c>
      <c r="D15" s="37">
        <v>30</v>
      </c>
    </row>
    <row r="16" spans="1:4">
      <c r="A16" s="31" t="s">
        <v>17</v>
      </c>
      <c r="B16" s="15">
        <v>1610</v>
      </c>
      <c r="C16" s="15">
        <v>1870</v>
      </c>
      <c r="D16" s="38">
        <v>3910</v>
      </c>
    </row>
    <row r="17" spans="1:4">
      <c r="A17" s="32"/>
      <c r="B17" s="84"/>
      <c r="C17" s="84"/>
      <c r="D17" s="95"/>
    </row>
    <row r="18" spans="1:4">
      <c r="A18" s="31" t="s">
        <v>18</v>
      </c>
      <c r="B18" s="88"/>
      <c r="C18" s="88"/>
      <c r="D18" s="98"/>
    </row>
    <row r="19" spans="1:4">
      <c r="A19" s="29" t="s">
        <v>19</v>
      </c>
      <c r="B19" s="1">
        <v>180</v>
      </c>
      <c r="C19" s="1">
        <v>210</v>
      </c>
      <c r="D19" s="36">
        <v>340</v>
      </c>
    </row>
    <row r="20" spans="1:4">
      <c r="A20" s="28" t="s">
        <v>20</v>
      </c>
      <c r="B20" s="2">
        <v>1240</v>
      </c>
      <c r="C20" s="2">
        <v>1380</v>
      </c>
      <c r="D20" s="35">
        <v>1680</v>
      </c>
    </row>
    <row r="21" spans="1:4">
      <c r="A21" s="29" t="s">
        <v>21</v>
      </c>
      <c r="B21" s="1">
        <v>280</v>
      </c>
      <c r="C21" s="1">
        <v>310</v>
      </c>
      <c r="D21" s="36">
        <v>395</v>
      </c>
    </row>
    <row r="22" spans="1:4">
      <c r="A22" s="28" t="s">
        <v>22</v>
      </c>
      <c r="B22" s="2">
        <v>0</v>
      </c>
      <c r="C22" s="2">
        <v>0</v>
      </c>
      <c r="D22" s="35">
        <v>180</v>
      </c>
    </row>
    <row r="23" spans="1:4">
      <c r="A23" s="27" t="s">
        <v>23</v>
      </c>
      <c r="B23" s="1">
        <v>1700</v>
      </c>
      <c r="C23" s="1">
        <v>1900</v>
      </c>
      <c r="D23" s="36">
        <v>2595</v>
      </c>
    </row>
    <row r="24" spans="1:4">
      <c r="A24" s="30"/>
      <c r="B24" s="96"/>
      <c r="C24" s="96"/>
      <c r="D24" s="97"/>
    </row>
    <row r="25" spans="1:4">
      <c r="A25" s="29" t="s">
        <v>24</v>
      </c>
      <c r="B25" s="1">
        <v>0</v>
      </c>
      <c r="C25" s="1">
        <v>0</v>
      </c>
      <c r="D25" s="36">
        <v>720</v>
      </c>
    </row>
    <row r="26" spans="1:4">
      <c r="A26" s="28" t="s">
        <v>25</v>
      </c>
      <c r="B26" s="2">
        <v>0</v>
      </c>
      <c r="C26" s="2">
        <v>0</v>
      </c>
      <c r="D26" s="35">
        <v>150</v>
      </c>
    </row>
    <row r="27" spans="1:4">
      <c r="A27" s="27" t="s">
        <v>26</v>
      </c>
      <c r="B27" s="1">
        <v>1700</v>
      </c>
      <c r="C27" s="1">
        <v>1900</v>
      </c>
      <c r="D27" s="36">
        <v>3465</v>
      </c>
    </row>
    <row r="28" spans="1:4">
      <c r="A28" s="30"/>
      <c r="B28" s="96"/>
      <c r="C28" s="96"/>
      <c r="D28" s="97"/>
    </row>
    <row r="29" spans="1:4">
      <c r="A29" s="27" t="s">
        <v>27</v>
      </c>
      <c r="B29" s="84"/>
      <c r="C29" s="84"/>
      <c r="D29" s="95"/>
    </row>
    <row r="30" spans="1:4">
      <c r="A30" s="28" t="s">
        <v>28</v>
      </c>
      <c r="B30" s="15">
        <v>50</v>
      </c>
      <c r="C30" s="15">
        <v>50</v>
      </c>
      <c r="D30" s="38">
        <v>50</v>
      </c>
    </row>
    <row r="31" spans="1:4">
      <c r="A31" s="29" t="s">
        <v>29</v>
      </c>
      <c r="B31" s="1">
        <v>-140</v>
      </c>
      <c r="C31" s="1">
        <v>-80</v>
      </c>
      <c r="D31" s="36">
        <v>395</v>
      </c>
    </row>
    <row r="32" spans="1:4">
      <c r="A32" s="31" t="s">
        <v>30</v>
      </c>
      <c r="B32" s="2">
        <v>-90</v>
      </c>
      <c r="C32" s="2">
        <v>-30</v>
      </c>
      <c r="D32" s="35">
        <v>445</v>
      </c>
    </row>
    <row r="33" spans="1:4">
      <c r="A33" s="32"/>
      <c r="B33" s="84"/>
      <c r="C33" s="84"/>
      <c r="D33" s="95"/>
    </row>
    <row r="34" spans="1:4">
      <c r="A34" s="44" t="s">
        <v>31</v>
      </c>
      <c r="B34" s="99">
        <v>1610</v>
      </c>
      <c r="C34" s="99">
        <v>1870</v>
      </c>
      <c r="D34" s="100">
        <v>3910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8FAB-75C5-4AC7-AD83-B9ECA9997B63}">
  <dimension ref="A1:E11"/>
  <sheetViews>
    <sheetView workbookViewId="0">
      <selection activeCell="D3" sqref="D3:D11"/>
    </sheetView>
  </sheetViews>
  <sheetFormatPr defaultRowHeight="13.2"/>
  <cols>
    <col min="1" max="2" width="17.21875" style="9" customWidth="1"/>
    <col min="3" max="3" width="18.21875" style="9" customWidth="1"/>
    <col min="4" max="4" width="17.21875" style="9" customWidth="1"/>
    <col min="5" max="5" width="18" style="9" customWidth="1"/>
  </cols>
  <sheetData>
    <row r="1" spans="1:5" ht="55.2" customHeight="1">
      <c r="A1" s="139" t="s">
        <v>47</v>
      </c>
      <c r="B1" s="139"/>
      <c r="C1" s="139"/>
      <c r="D1" s="139"/>
      <c r="E1" s="139"/>
    </row>
    <row r="2" spans="1:5" ht="40.200000000000003" customHeight="1">
      <c r="A2" s="55" t="s">
        <v>33</v>
      </c>
      <c r="B2" s="56" t="s">
        <v>34</v>
      </c>
      <c r="C2" s="56" t="s">
        <v>35</v>
      </c>
      <c r="D2" s="57" t="s">
        <v>36</v>
      </c>
      <c r="E2" s="58" t="s">
        <v>37</v>
      </c>
    </row>
    <row r="3" spans="1:5">
      <c r="A3" s="46" t="s">
        <v>38</v>
      </c>
      <c r="B3" s="90">
        <v>18200</v>
      </c>
      <c r="C3" s="4">
        <v>0.125</v>
      </c>
      <c r="D3" s="90">
        <v>2275</v>
      </c>
      <c r="E3" s="49">
        <v>0.317</v>
      </c>
    </row>
    <row r="4" spans="1:5">
      <c r="A4" s="47" t="s">
        <v>39</v>
      </c>
      <c r="B4" s="91">
        <v>14600</v>
      </c>
      <c r="C4" s="5">
        <v>0.13</v>
      </c>
      <c r="D4" s="91">
        <v>1898</v>
      </c>
      <c r="E4" s="50">
        <v>0.26400000000000001</v>
      </c>
    </row>
    <row r="5" spans="1:5" ht="22.8">
      <c r="A5" s="46" t="s">
        <v>40</v>
      </c>
      <c r="B5" s="92">
        <v>6800</v>
      </c>
      <c r="C5" s="6">
        <v>0.14499999999999999</v>
      </c>
      <c r="D5" s="92">
        <v>986</v>
      </c>
      <c r="E5" s="51">
        <v>0.13700000000000001</v>
      </c>
    </row>
    <row r="6" spans="1:5" ht="22.8">
      <c r="A6" s="47" t="s">
        <v>41</v>
      </c>
      <c r="B6" s="93">
        <v>5400</v>
      </c>
      <c r="C6" s="7">
        <v>0.1</v>
      </c>
      <c r="D6" s="93">
        <v>540</v>
      </c>
      <c r="E6" s="52">
        <v>7.4999999999999997E-2</v>
      </c>
    </row>
    <row r="7" spans="1:5">
      <c r="A7" s="46" t="s">
        <v>42</v>
      </c>
      <c r="B7" s="92">
        <v>4200</v>
      </c>
      <c r="C7" s="6">
        <v>0.11</v>
      </c>
      <c r="D7" s="92">
        <v>462</v>
      </c>
      <c r="E7" s="51">
        <v>6.4000000000000001E-2</v>
      </c>
    </row>
    <row r="8" spans="1:5" ht="22.8">
      <c r="A8" s="47" t="s">
        <v>43</v>
      </c>
      <c r="B8" s="93">
        <v>3800</v>
      </c>
      <c r="C8" s="7">
        <v>0.15</v>
      </c>
      <c r="D8" s="93">
        <v>570</v>
      </c>
      <c r="E8" s="52">
        <v>7.9000000000000001E-2</v>
      </c>
    </row>
    <row r="9" spans="1:5">
      <c r="A9" s="46" t="s">
        <v>44</v>
      </c>
      <c r="B9" s="92">
        <v>3200</v>
      </c>
      <c r="C9" s="6">
        <v>0.14000000000000001</v>
      </c>
      <c r="D9" s="92">
        <v>449</v>
      </c>
      <c r="E9" s="51">
        <v>6.3E-2</v>
      </c>
    </row>
    <row r="10" spans="1:5">
      <c r="A10" s="48"/>
      <c r="B10" s="94"/>
      <c r="C10" s="8"/>
      <c r="D10" s="94"/>
      <c r="E10" s="53"/>
    </row>
    <row r="11" spans="1:5">
      <c r="A11" s="46" t="s">
        <v>45</v>
      </c>
      <c r="B11" s="90">
        <v>56200</v>
      </c>
      <c r="C11" s="3" t="s">
        <v>46</v>
      </c>
      <c r="D11" s="90">
        <v>7180</v>
      </c>
      <c r="E11" s="54">
        <v>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A6EC-9E18-4205-ABB2-5026A30E9861}">
  <dimension ref="A1:E9"/>
  <sheetViews>
    <sheetView workbookViewId="0">
      <selection activeCell="B3" sqref="B3:D9"/>
    </sheetView>
  </sheetViews>
  <sheetFormatPr defaultRowHeight="13.2"/>
  <cols>
    <col min="1" max="5" width="20.5546875" customWidth="1"/>
  </cols>
  <sheetData>
    <row r="1" spans="1:5" ht="69" customHeight="1">
      <c r="A1" s="139" t="s">
        <v>48</v>
      </c>
      <c r="B1" s="139"/>
      <c r="C1" s="139"/>
      <c r="D1" s="139"/>
      <c r="E1" s="139"/>
    </row>
    <row r="2" spans="1:5">
      <c r="A2" s="62" t="s">
        <v>49</v>
      </c>
      <c r="B2" s="42" t="s">
        <v>1</v>
      </c>
      <c r="C2" s="42" t="s">
        <v>2</v>
      </c>
      <c r="D2" s="42" t="s">
        <v>3</v>
      </c>
      <c r="E2" s="43" t="s">
        <v>50</v>
      </c>
    </row>
    <row r="3" spans="1:5">
      <c r="A3" s="27" t="s">
        <v>51</v>
      </c>
      <c r="B3" s="78">
        <v>240</v>
      </c>
      <c r="C3" s="78">
        <v>260</v>
      </c>
      <c r="D3" s="78">
        <v>310</v>
      </c>
      <c r="E3" s="59" t="s">
        <v>52</v>
      </c>
    </row>
    <row r="4" spans="1:5">
      <c r="A4" s="31" t="s">
        <v>53</v>
      </c>
      <c r="B4" s="79">
        <v>180</v>
      </c>
      <c r="C4" s="79">
        <v>195</v>
      </c>
      <c r="D4" s="79">
        <v>210</v>
      </c>
      <c r="E4" s="40" t="s">
        <v>54</v>
      </c>
    </row>
    <row r="5" spans="1:5">
      <c r="A5" s="27" t="s">
        <v>55</v>
      </c>
      <c r="B5" s="78">
        <v>140</v>
      </c>
      <c r="C5" s="78">
        <v>155</v>
      </c>
      <c r="D5" s="78">
        <v>170</v>
      </c>
      <c r="E5" s="59" t="s">
        <v>56</v>
      </c>
    </row>
    <row r="6" spans="1:5">
      <c r="A6" s="31" t="s">
        <v>57</v>
      </c>
      <c r="B6" s="79">
        <v>120</v>
      </c>
      <c r="C6" s="79">
        <v>130</v>
      </c>
      <c r="D6" s="79">
        <v>145</v>
      </c>
      <c r="E6" s="40" t="s">
        <v>52</v>
      </c>
    </row>
    <row r="7" spans="1:5" ht="34.200000000000003">
      <c r="A7" s="27" t="s">
        <v>58</v>
      </c>
      <c r="B7" s="14">
        <v>0</v>
      </c>
      <c r="C7" s="14">
        <v>0</v>
      </c>
      <c r="D7" s="78">
        <v>405</v>
      </c>
      <c r="E7" s="60" t="s">
        <v>59</v>
      </c>
    </row>
    <row r="8" spans="1:5">
      <c r="A8" s="33"/>
      <c r="B8" s="88"/>
      <c r="C8" s="88"/>
      <c r="D8" s="88"/>
      <c r="E8" s="39"/>
    </row>
    <row r="9" spans="1:5" ht="22.8">
      <c r="A9" s="63" t="s">
        <v>60</v>
      </c>
      <c r="B9" s="89">
        <v>680</v>
      </c>
      <c r="C9" s="89">
        <v>740</v>
      </c>
      <c r="D9" s="89">
        <v>1240</v>
      </c>
      <c r="E9" s="64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FE3B-71F5-46B6-B765-58B885CA8351}">
  <dimension ref="A1:D15"/>
  <sheetViews>
    <sheetView workbookViewId="0">
      <selection activeCell="F7" sqref="F7"/>
    </sheetView>
  </sheetViews>
  <sheetFormatPr defaultRowHeight="13.2"/>
  <cols>
    <col min="1" max="4" width="16.77734375" customWidth="1"/>
  </cols>
  <sheetData>
    <row r="1" spans="1:4" ht="36.6" customHeight="1">
      <c r="A1" s="139" t="s">
        <v>61</v>
      </c>
      <c r="B1" s="139"/>
      <c r="C1" s="139"/>
      <c r="D1" s="139"/>
    </row>
    <row r="2" spans="1:4">
      <c r="A2" s="62" t="s">
        <v>62</v>
      </c>
      <c r="B2" s="42" t="s">
        <v>63</v>
      </c>
      <c r="C2" s="42" t="s">
        <v>64</v>
      </c>
      <c r="D2" s="43" t="s">
        <v>65</v>
      </c>
    </row>
    <row r="3" spans="1:4" ht="34.200000000000003">
      <c r="A3" s="27" t="s">
        <v>66</v>
      </c>
      <c r="B3" s="75">
        <v>620</v>
      </c>
      <c r="C3" s="11">
        <v>6.4000000000000001E-2</v>
      </c>
      <c r="D3" s="59" t="s">
        <v>67</v>
      </c>
    </row>
    <row r="4" spans="1:4" ht="22.8">
      <c r="A4" s="31" t="s">
        <v>68</v>
      </c>
      <c r="B4" s="76">
        <v>540</v>
      </c>
      <c r="C4" s="12">
        <v>5.6000000000000001E-2</v>
      </c>
      <c r="D4" s="40" t="s">
        <v>69</v>
      </c>
    </row>
    <row r="5" spans="1:4" ht="22.8">
      <c r="A5" s="27" t="s">
        <v>70</v>
      </c>
      <c r="B5" s="75">
        <v>480</v>
      </c>
      <c r="C5" s="11">
        <v>0.05</v>
      </c>
      <c r="D5" s="59" t="s">
        <v>71</v>
      </c>
    </row>
    <row r="6" spans="1:4" ht="22.8">
      <c r="A6" s="31" t="s">
        <v>72</v>
      </c>
      <c r="B6" s="76">
        <v>420</v>
      </c>
      <c r="C6" s="12">
        <v>4.3999999999999997E-2</v>
      </c>
      <c r="D6" s="40" t="s">
        <v>73</v>
      </c>
    </row>
    <row r="7" spans="1:4" ht="22.8">
      <c r="A7" s="27" t="s">
        <v>74</v>
      </c>
      <c r="B7" s="75">
        <v>380</v>
      </c>
      <c r="C7" s="11">
        <v>0.04</v>
      </c>
      <c r="D7" s="59" t="s">
        <v>75</v>
      </c>
    </row>
    <row r="8" spans="1:4" ht="22.8">
      <c r="A8" s="31" t="s">
        <v>76</v>
      </c>
      <c r="B8" s="76">
        <v>340</v>
      </c>
      <c r="C8" s="12">
        <v>3.5000000000000003E-2</v>
      </c>
      <c r="D8" s="40" t="s">
        <v>77</v>
      </c>
    </row>
    <row r="9" spans="1:4" ht="22.8">
      <c r="A9" s="27" t="s">
        <v>78</v>
      </c>
      <c r="B9" s="86">
        <v>310</v>
      </c>
      <c r="C9" s="10">
        <v>3.2000000000000001E-2</v>
      </c>
      <c r="D9" s="66" t="s">
        <v>79</v>
      </c>
    </row>
    <row r="10" spans="1:4" ht="22.8">
      <c r="A10" s="31" t="s">
        <v>80</v>
      </c>
      <c r="B10" s="76">
        <v>280</v>
      </c>
      <c r="C10" s="12">
        <v>2.9000000000000001E-2</v>
      </c>
      <c r="D10" s="40" t="s">
        <v>69</v>
      </c>
    </row>
    <row r="11" spans="1:4" ht="22.8">
      <c r="A11" s="27" t="s">
        <v>81</v>
      </c>
      <c r="B11" s="75">
        <v>240</v>
      </c>
      <c r="C11" s="11">
        <v>2.5000000000000001E-2</v>
      </c>
      <c r="D11" s="59" t="s">
        <v>71</v>
      </c>
    </row>
    <row r="12" spans="1:4" ht="22.8">
      <c r="A12" s="31" t="s">
        <v>82</v>
      </c>
      <c r="B12" s="76">
        <v>220</v>
      </c>
      <c r="C12" s="12">
        <v>2.3E-2</v>
      </c>
      <c r="D12" s="40" t="s">
        <v>83</v>
      </c>
    </row>
    <row r="13" spans="1:4">
      <c r="A13" s="65"/>
      <c r="B13" s="87"/>
      <c r="C13" s="13"/>
      <c r="D13" s="61"/>
    </row>
    <row r="14" spans="1:4">
      <c r="A14" s="31" t="s">
        <v>84</v>
      </c>
      <c r="B14" s="76">
        <v>3830</v>
      </c>
      <c r="C14" s="12">
        <v>0.39800000000000002</v>
      </c>
      <c r="D14" s="67"/>
    </row>
    <row r="15" spans="1:4" ht="22.8">
      <c r="A15" s="63" t="s">
        <v>85</v>
      </c>
      <c r="B15" s="77">
        <v>5785</v>
      </c>
      <c r="C15" s="68">
        <v>0.60199999999999998</v>
      </c>
      <c r="D15" s="64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882E-1242-42A4-A0C9-F4485A650931}">
  <dimension ref="A1:D19"/>
  <sheetViews>
    <sheetView workbookViewId="0">
      <selection activeCell="A2" sqref="A2:D16"/>
    </sheetView>
  </sheetViews>
  <sheetFormatPr defaultRowHeight="13.2"/>
  <cols>
    <col min="2" max="2" width="9.88671875" customWidth="1"/>
    <col min="3" max="3" width="14.77734375" customWidth="1"/>
    <col min="4" max="4" width="15.21875" customWidth="1"/>
  </cols>
  <sheetData>
    <row r="1" spans="1:4" ht="39.6" customHeight="1">
      <c r="A1" s="132" t="s">
        <v>86</v>
      </c>
      <c r="B1" s="132"/>
      <c r="C1" s="132"/>
      <c r="D1" s="132"/>
    </row>
    <row r="2" spans="1:4">
      <c r="A2" s="62" t="s">
        <v>87</v>
      </c>
      <c r="B2" s="42" t="s">
        <v>88</v>
      </c>
      <c r="C2" s="42" t="s">
        <v>89</v>
      </c>
      <c r="D2" s="43" t="s">
        <v>90</v>
      </c>
    </row>
    <row r="3" spans="1:4">
      <c r="A3" s="27" t="s">
        <v>91</v>
      </c>
      <c r="B3" s="14">
        <v>780</v>
      </c>
      <c r="C3" s="14">
        <v>740</v>
      </c>
      <c r="D3" s="37">
        <v>530</v>
      </c>
    </row>
    <row r="4" spans="1:4">
      <c r="A4" s="31" t="s">
        <v>92</v>
      </c>
      <c r="B4" s="15">
        <v>720</v>
      </c>
      <c r="C4" s="15">
        <v>690</v>
      </c>
      <c r="D4" s="38">
        <v>560</v>
      </c>
    </row>
    <row r="5" spans="1:4">
      <c r="A5" s="27" t="s">
        <v>93</v>
      </c>
      <c r="B5" s="14">
        <v>840</v>
      </c>
      <c r="C5" s="14">
        <v>810</v>
      </c>
      <c r="D5" s="37">
        <v>590</v>
      </c>
    </row>
    <row r="6" spans="1:4">
      <c r="A6" s="31" t="s">
        <v>94</v>
      </c>
      <c r="B6" s="15">
        <v>950</v>
      </c>
      <c r="C6" s="15">
        <v>880</v>
      </c>
      <c r="D6" s="38">
        <v>660</v>
      </c>
    </row>
    <row r="7" spans="1:4">
      <c r="A7" s="27" t="s">
        <v>95</v>
      </c>
      <c r="B7" s="14">
        <v>810</v>
      </c>
      <c r="C7" s="14">
        <v>820</v>
      </c>
      <c r="D7" s="37">
        <v>650</v>
      </c>
    </row>
    <row r="8" spans="1:4">
      <c r="A8" s="31" t="s">
        <v>96</v>
      </c>
      <c r="B8" s="16">
        <v>1080</v>
      </c>
      <c r="C8" s="15">
        <v>960</v>
      </c>
      <c r="D8" s="38">
        <v>770</v>
      </c>
    </row>
    <row r="9" spans="1:4">
      <c r="A9" s="27" t="s">
        <v>97</v>
      </c>
      <c r="B9" s="14">
        <v>860</v>
      </c>
      <c r="C9" s="14">
        <v>840</v>
      </c>
      <c r="D9" s="37">
        <v>790</v>
      </c>
    </row>
    <row r="10" spans="1:4">
      <c r="A10" s="31" t="s">
        <v>98</v>
      </c>
      <c r="B10" s="15">
        <v>790</v>
      </c>
      <c r="C10" s="15">
        <v>810</v>
      </c>
      <c r="D10" s="38">
        <v>770</v>
      </c>
    </row>
    <row r="11" spans="1:4">
      <c r="A11" s="27" t="s">
        <v>99</v>
      </c>
      <c r="B11" s="14">
        <v>920</v>
      </c>
      <c r="C11" s="14">
        <v>870</v>
      </c>
      <c r="D11" s="37">
        <v>820</v>
      </c>
    </row>
    <row r="12" spans="1:4">
      <c r="A12" s="31" t="s">
        <v>100</v>
      </c>
      <c r="B12" s="16">
        <v>1150</v>
      </c>
      <c r="C12" s="16">
        <v>1080</v>
      </c>
      <c r="D12" s="38">
        <v>890</v>
      </c>
    </row>
    <row r="13" spans="1:4">
      <c r="A13" s="27" t="s">
        <v>101</v>
      </c>
      <c r="B13" s="14">
        <v>880</v>
      </c>
      <c r="C13" s="14">
        <v>920</v>
      </c>
      <c r="D13" s="37">
        <v>850</v>
      </c>
    </row>
    <row r="14" spans="1:4">
      <c r="A14" s="31" t="s">
        <v>102</v>
      </c>
      <c r="B14" s="15">
        <v>740</v>
      </c>
      <c r="C14" s="16">
        <v>1100</v>
      </c>
      <c r="D14" s="38">
        <v>490</v>
      </c>
    </row>
    <row r="15" spans="1:4">
      <c r="A15" s="32"/>
      <c r="B15" s="17"/>
      <c r="C15" s="17"/>
      <c r="D15" s="34"/>
    </row>
    <row r="16" spans="1:4" ht="22.8">
      <c r="A16" s="44" t="s">
        <v>103</v>
      </c>
      <c r="B16" s="45">
        <v>10520</v>
      </c>
      <c r="C16" s="45">
        <v>10520</v>
      </c>
      <c r="D16" s="69"/>
    </row>
    <row r="19" spans="1:4" ht="64.2" customHeight="1">
      <c r="A19" s="140" t="s">
        <v>104</v>
      </c>
      <c r="B19" s="140"/>
      <c r="C19" s="140"/>
      <c r="D19" s="140"/>
    </row>
  </sheetData>
  <mergeCells count="2">
    <mergeCell ref="A1:D1"/>
    <mergeCell ref="A19:D19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6BA4-FAD8-48C2-869F-4E8D40010248}">
  <dimension ref="A1:F20"/>
  <sheetViews>
    <sheetView topLeftCell="A7" workbookViewId="0">
      <selection activeCell="A14" sqref="A14"/>
    </sheetView>
  </sheetViews>
  <sheetFormatPr defaultRowHeight="39" customHeight="1"/>
  <cols>
    <col min="1" max="1" width="12.33203125" customWidth="1"/>
    <col min="2" max="2" width="16" customWidth="1"/>
    <col min="3" max="3" width="13.77734375" customWidth="1"/>
    <col min="4" max="4" width="19.77734375" customWidth="1"/>
    <col min="5" max="5" width="11.88671875" customWidth="1"/>
    <col min="6" max="6" width="18.109375" customWidth="1"/>
  </cols>
  <sheetData>
    <row r="1" spans="1:6" ht="39" customHeight="1">
      <c r="A1" s="141" t="s">
        <v>105</v>
      </c>
      <c r="B1" s="141"/>
      <c r="C1" s="141"/>
      <c r="D1" s="141"/>
      <c r="E1" s="141"/>
      <c r="F1" s="141"/>
    </row>
    <row r="2" spans="1:6" ht="39" customHeight="1">
      <c r="A2" s="62" t="s">
        <v>106</v>
      </c>
      <c r="B2" s="72" t="s">
        <v>107</v>
      </c>
      <c r="C2" s="72" t="s">
        <v>108</v>
      </c>
      <c r="D2" s="42" t="s">
        <v>109</v>
      </c>
      <c r="E2" s="42" t="s">
        <v>110</v>
      </c>
      <c r="F2" s="43" t="s">
        <v>111</v>
      </c>
    </row>
    <row r="3" spans="1:6" ht="39" customHeight="1">
      <c r="A3" s="27" t="s">
        <v>112</v>
      </c>
      <c r="B3" s="78">
        <v>2840</v>
      </c>
      <c r="C3" s="11">
        <v>0.29499999999999998</v>
      </c>
      <c r="D3" s="18" t="s">
        <v>113</v>
      </c>
      <c r="E3" s="75" t="s">
        <v>155</v>
      </c>
      <c r="F3" s="59" t="s">
        <v>114</v>
      </c>
    </row>
    <row r="4" spans="1:6" ht="39" customHeight="1">
      <c r="A4" s="31" t="s">
        <v>115</v>
      </c>
      <c r="B4" s="79">
        <v>1680</v>
      </c>
      <c r="C4" s="12">
        <v>0.17499999999999999</v>
      </c>
      <c r="D4" s="20" t="s">
        <v>116</v>
      </c>
      <c r="E4" s="76">
        <v>628</v>
      </c>
      <c r="F4" s="70">
        <v>0.374</v>
      </c>
    </row>
    <row r="5" spans="1:6" ht="39" customHeight="1">
      <c r="A5" s="27" t="s">
        <v>117</v>
      </c>
      <c r="B5" s="78">
        <v>1240</v>
      </c>
      <c r="C5" s="11">
        <v>0.129</v>
      </c>
      <c r="D5" s="21" t="s">
        <v>118</v>
      </c>
      <c r="E5" s="75">
        <v>412</v>
      </c>
      <c r="F5" s="71">
        <v>0.33200000000000002</v>
      </c>
    </row>
    <row r="6" spans="1:6" ht="39" customHeight="1">
      <c r="A6" s="31" t="s">
        <v>119</v>
      </c>
      <c r="B6" s="79">
        <v>920</v>
      </c>
      <c r="C6" s="12">
        <v>9.6000000000000002E-2</v>
      </c>
      <c r="D6" s="20" t="s">
        <v>118</v>
      </c>
      <c r="E6" s="76">
        <v>316</v>
      </c>
      <c r="F6" s="70">
        <v>0.34300000000000003</v>
      </c>
    </row>
    <row r="7" spans="1:6" ht="39" customHeight="1">
      <c r="A7" s="27" t="s">
        <v>120</v>
      </c>
      <c r="B7" s="78">
        <v>680</v>
      </c>
      <c r="C7" s="11">
        <v>7.0999999999999994E-2</v>
      </c>
      <c r="D7" s="21" t="s">
        <v>121</v>
      </c>
      <c r="E7" s="75">
        <v>230</v>
      </c>
      <c r="F7" s="71">
        <v>0.33800000000000002</v>
      </c>
    </row>
    <row r="8" spans="1:6" ht="39" customHeight="1">
      <c r="A8" s="31" t="s">
        <v>122</v>
      </c>
      <c r="B8" s="79">
        <v>440</v>
      </c>
      <c r="C8" s="12">
        <v>4.5999999999999999E-2</v>
      </c>
      <c r="D8" s="20" t="s">
        <v>123</v>
      </c>
      <c r="E8" s="76">
        <v>160</v>
      </c>
      <c r="F8" s="70">
        <v>0.36399999999999999</v>
      </c>
    </row>
    <row r="9" spans="1:6" ht="39" customHeight="1">
      <c r="A9" s="27" t="s">
        <v>124</v>
      </c>
      <c r="B9" s="78">
        <v>520</v>
      </c>
      <c r="C9" s="11">
        <v>5.3999999999999999E-2</v>
      </c>
      <c r="D9" s="18" t="s">
        <v>125</v>
      </c>
      <c r="E9" s="75">
        <v>145</v>
      </c>
      <c r="F9" s="71">
        <v>0.27900000000000003</v>
      </c>
    </row>
    <row r="10" spans="1:6" ht="39" customHeight="1">
      <c r="A10" s="31" t="s">
        <v>126</v>
      </c>
      <c r="B10" s="79">
        <v>1295</v>
      </c>
      <c r="C10" s="12">
        <v>0.13500000000000001</v>
      </c>
      <c r="D10" s="19" t="s">
        <v>127</v>
      </c>
      <c r="E10" s="76" t="s">
        <v>4</v>
      </c>
      <c r="F10" s="40" t="s">
        <v>4</v>
      </c>
    </row>
    <row r="11" spans="1:6" ht="39" customHeight="1">
      <c r="A11" s="32"/>
      <c r="B11" s="84"/>
      <c r="C11" s="17"/>
      <c r="D11" s="17"/>
      <c r="E11" s="82"/>
      <c r="F11" s="34"/>
    </row>
    <row r="12" spans="1:6" ht="39" customHeight="1">
      <c r="A12" s="44" t="s">
        <v>128</v>
      </c>
      <c r="B12" s="85">
        <v>9615</v>
      </c>
      <c r="C12" s="73">
        <v>1</v>
      </c>
      <c r="D12" s="74"/>
      <c r="E12" s="83" t="s">
        <v>156</v>
      </c>
      <c r="F12" s="69"/>
    </row>
    <row r="13" spans="1:6" ht="26.4" customHeight="1"/>
    <row r="14" spans="1:6" ht="26.4" customHeight="1">
      <c r="A14" s="128" t="s">
        <v>129</v>
      </c>
    </row>
    <row r="15" spans="1:6" ht="26.4" customHeight="1"/>
    <row r="16" spans="1:6" ht="26.4" customHeight="1"/>
    <row r="17" ht="26.4" customHeight="1"/>
    <row r="18" ht="26.4" customHeight="1"/>
    <row r="19" ht="26.4" customHeight="1"/>
    <row r="20" ht="26.4" customHeight="1"/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D2402-2234-4A03-A7E7-CE9ECCD0175A}">
  <dimension ref="A1:D14"/>
  <sheetViews>
    <sheetView workbookViewId="0">
      <selection activeCell="A14" sqref="A14"/>
    </sheetView>
  </sheetViews>
  <sheetFormatPr defaultRowHeight="13.2"/>
  <cols>
    <col min="1" max="1" width="37" customWidth="1"/>
  </cols>
  <sheetData>
    <row r="1" spans="1:4" ht="44.4" customHeight="1">
      <c r="A1" s="141" t="s">
        <v>130</v>
      </c>
      <c r="B1" s="141"/>
      <c r="C1" s="141"/>
      <c r="D1" s="141"/>
    </row>
    <row r="2" spans="1:4">
      <c r="A2" s="22" t="s">
        <v>131</v>
      </c>
      <c r="B2" s="23" t="s">
        <v>1</v>
      </c>
      <c r="C2" s="23" t="s">
        <v>2</v>
      </c>
      <c r="D2" s="23" t="s">
        <v>3</v>
      </c>
    </row>
    <row r="3" spans="1:4">
      <c r="A3" s="24" t="s">
        <v>132</v>
      </c>
      <c r="B3" s="78">
        <v>350</v>
      </c>
      <c r="C3" s="78">
        <v>390</v>
      </c>
      <c r="D3" s="78">
        <v>450</v>
      </c>
    </row>
    <row r="4" spans="1:4">
      <c r="A4" s="25" t="s">
        <v>133</v>
      </c>
      <c r="B4" s="79">
        <v>1800</v>
      </c>
      <c r="C4" s="80">
        <v>2050</v>
      </c>
      <c r="D4" s="79">
        <v>2280</v>
      </c>
    </row>
    <row r="5" spans="1:4">
      <c r="A5" s="24" t="s">
        <v>134</v>
      </c>
      <c r="B5" s="14">
        <v>0</v>
      </c>
      <c r="C5" s="78">
        <v>24</v>
      </c>
      <c r="D5" s="78">
        <v>24</v>
      </c>
    </row>
    <row r="6" spans="1:4">
      <c r="A6" s="25" t="s">
        <v>135</v>
      </c>
      <c r="B6" s="2">
        <v>0</v>
      </c>
      <c r="C6" s="80">
        <v>32</v>
      </c>
      <c r="D6" s="80">
        <v>32</v>
      </c>
    </row>
    <row r="7" spans="1:4">
      <c r="A7" s="24" t="s">
        <v>136</v>
      </c>
      <c r="B7" s="14">
        <v>0</v>
      </c>
      <c r="C7" s="14">
        <v>0</v>
      </c>
      <c r="D7" s="78">
        <v>45</v>
      </c>
    </row>
    <row r="8" spans="1:4">
      <c r="A8" s="25" t="s">
        <v>137</v>
      </c>
      <c r="B8" s="80">
        <v>22</v>
      </c>
      <c r="C8" s="80">
        <v>24</v>
      </c>
      <c r="D8" s="80">
        <v>28</v>
      </c>
    </row>
    <row r="9" spans="1:4">
      <c r="A9" s="24" t="s">
        <v>138</v>
      </c>
      <c r="B9" s="78">
        <v>15</v>
      </c>
      <c r="C9" s="78">
        <v>15</v>
      </c>
      <c r="D9" s="78">
        <v>15</v>
      </c>
    </row>
    <row r="10" spans="1:4">
      <c r="A10" s="26"/>
      <c r="B10" s="81"/>
      <c r="C10" s="81"/>
      <c r="D10" s="81"/>
    </row>
    <row r="11" spans="1:4" ht="22.8">
      <c r="A11" s="24" t="s">
        <v>139</v>
      </c>
      <c r="B11" s="78" t="s">
        <v>152</v>
      </c>
      <c r="C11" s="78" t="s">
        <v>153</v>
      </c>
      <c r="D11" s="78" t="s">
        <v>152</v>
      </c>
    </row>
    <row r="12" spans="1:4" ht="22.8">
      <c r="A12" s="25" t="s">
        <v>140</v>
      </c>
      <c r="B12" s="15">
        <v>0</v>
      </c>
      <c r="C12" s="15">
        <v>0</v>
      </c>
      <c r="D12" s="79" t="s">
        <v>154</v>
      </c>
    </row>
    <row r="14" spans="1:4">
      <c r="A14" t="s">
        <v>141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F123-AD88-4AB7-B020-05B71AE2CAC0}">
  <dimension ref="A1:A17"/>
  <sheetViews>
    <sheetView showGridLines="0" workbookViewId="0">
      <selection activeCell="A15" sqref="A15"/>
    </sheetView>
  </sheetViews>
  <sheetFormatPr defaultRowHeight="13.2"/>
  <sheetData>
    <row r="1" spans="1:1">
      <c r="A1" t="s">
        <v>142</v>
      </c>
    </row>
    <row r="3" spans="1:1">
      <c r="A3" t="s">
        <v>143</v>
      </c>
    </row>
    <row r="5" spans="1:1">
      <c r="A5" t="s">
        <v>144</v>
      </c>
    </row>
    <row r="7" spans="1:1">
      <c r="A7" t="s">
        <v>145</v>
      </c>
    </row>
    <row r="9" spans="1:1">
      <c r="A9" t="s">
        <v>146</v>
      </c>
    </row>
    <row r="11" spans="1:1">
      <c r="A11" t="s">
        <v>147</v>
      </c>
    </row>
    <row r="13" spans="1:1">
      <c r="A13" t="s">
        <v>148</v>
      </c>
    </row>
    <row r="15" spans="1:1">
      <c r="A15" t="s">
        <v>149</v>
      </c>
    </row>
    <row r="17" spans="1:1">
      <c r="A17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74FB-482B-434D-9DC4-457BD0A7CF28}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IncomeStatement check</vt:lpstr>
      <vt:lpstr>Balance Sheet</vt:lpstr>
      <vt:lpstr>P&amp;C comissionIncome</vt:lpstr>
      <vt:lpstr>Contingent Comission Detailes</vt:lpstr>
      <vt:lpstr>Top10Accounts</vt:lpstr>
      <vt:lpstr>BankActivity</vt:lpstr>
      <vt:lpstr>ProducerEcon&amp;Compen</vt:lpstr>
      <vt:lpstr>OwnerCompen</vt:lpstr>
      <vt:lpstr>Notes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Ramirez</dc:creator>
  <cp:lastModifiedBy>Patricia Ramirez</cp:lastModifiedBy>
  <dcterms:created xsi:type="dcterms:W3CDTF">2026-04-03T22:01:34Z</dcterms:created>
  <dcterms:modified xsi:type="dcterms:W3CDTF">2026-04-29T18:18:45Z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2026-04-03T00:00:00Z</vt:filetime>
  </property>
  <property fmtid="{D5CDD505-2E9C-101B-9397-08002B2CF9AE}" pid="3" name="LastSaved">
    <vt:filetime>2026-04-03T00:00:00Z</vt:filetime>
  </property>
  <property fmtid="{D5CDD505-2E9C-101B-9397-08002B2CF9AE}" pid="4" name="Producer">
    <vt:lpwstr>iLovePDF</vt:lpwstr>
  </property>
</Properties>
</file>